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omo usar" sheetId="2" state="visible" r:id="rId2"/>
    <sheet xmlns:r="http://schemas.openxmlformats.org/officeDocument/2006/relationships" name="Ajustes" sheetId="3" state="visible" r:id="rId3"/>
    <sheet xmlns:r="http://schemas.openxmlformats.org/officeDocument/2006/relationships" name="Clima" sheetId="4" state="visible" r:id="rId4"/>
    <sheet xmlns:r="http://schemas.openxmlformats.org/officeDocument/2006/relationships" name="Tipo de evento" sheetId="5" state="visible" r:id="rId5"/>
    <sheet xmlns:r="http://schemas.openxmlformats.org/officeDocument/2006/relationships" name="Eventos" sheetId="6" state="visible" r:id="rId6"/>
    <sheet xmlns:r="http://schemas.openxmlformats.org/officeDocument/2006/relationships" name="Criaturas" sheetId="7" state="visible" r:id="rId7"/>
    <sheet xmlns:r="http://schemas.openxmlformats.org/officeDocument/2006/relationships" name="Intensida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;-0;+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F3A2B"/>
      <sz val="16"/>
    </font>
    <font>
      <name val="Arial"/>
      <i val="1"/>
      <color rgb="00555555"/>
      <sz val="10"/>
    </font>
    <font>
      <name val="Arial"/>
      <b val="1"/>
      <color rgb="001F3A2B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00FF"/>
      <sz val="11"/>
    </font>
    <font>
      <name val="Arial"/>
      <color rgb="00888888"/>
      <sz val="9"/>
    </font>
    <font>
      <name val="Arial"/>
      <color rgb="00555555"/>
      <sz val="9"/>
    </font>
    <font>
      <name val="Arial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D9E4DC"/>
      </patternFill>
    </fill>
    <fill>
      <patternFill patternType="solid">
        <fgColor rgb="002F4F3A"/>
      </patternFill>
    </fill>
    <fill>
      <patternFill patternType="solid">
        <fgColor rgb="00FFFF00"/>
      </patternFill>
    </fill>
    <fill>
      <patternFill patternType="solid">
        <fgColor rgb="00F2E6D8"/>
      </patternFill>
    </fill>
    <fill>
      <patternFill patternType="solid">
        <fgColor rgb="00E3EEDC"/>
      </patternFill>
    </fill>
    <fill>
      <patternFill patternType="solid">
        <fgColor rgb="00F4DCDC"/>
      </patternFill>
    </fill>
    <fill>
      <patternFill patternType="solid">
        <fgColor rgb="00E2DDF0"/>
      </patternFill>
    </fill>
    <fill>
      <patternFill patternType="solid">
        <fgColor rgb="00F3F0E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2" fontId="7" fillId="4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2" fontId="8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4F3A"/>
    <outlinePr summaryBelow="1" summaryRight="1"/>
    <pageSetUpPr/>
  </sheetPr>
  <dimension ref="B1:M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12" customWidth="1" min="4" max="4"/>
    <col width="9" customWidth="1" min="5" max="5"/>
    <col width="30" customWidth="1" min="6" max="6"/>
    <col width="62" customWidth="1" min="7" max="7"/>
    <col width="2" customWidth="1" min="8" max="8"/>
    <col width="2" customWidth="1" min="9" max="9"/>
    <col width="2" customWidth="1" min="10" max="10"/>
    <col width="2" customWidth="1" min="11" max="11"/>
    <col width="22" customWidth="1" min="12" max="12"/>
    <col width="10" customWidth="1" min="13" max="13"/>
  </cols>
  <sheetData>
    <row r="1" ht="28" customHeight="1">
      <c r="B1" s="1" t="inlineStr">
        <is>
          <t>Viagem pelo Continente — rolagem do período</t>
        </is>
      </c>
    </row>
    <row r="2" ht="28" customHeight="1">
      <c r="B2" s="2" t="inlineStr">
        <is>
          <t>1) Escolha a situação nas células amarelas. 2) Digite os dados que você rolou na coluna 'Seu dado' — ou deixe em branco e a planilha rola sozinha (F9 rerrola).</t>
        </is>
      </c>
    </row>
    <row r="4">
      <c r="B4" s="3" t="inlineStr">
        <is>
          <t>1. Situação</t>
        </is>
      </c>
      <c r="C4" s="4" t="n"/>
      <c r="D4" s="4" t="n"/>
      <c r="E4" s="4" t="n"/>
      <c r="F4" s="4" t="n"/>
      <c r="G4" s="5" t="n"/>
      <c r="L4" s="6" t="inlineStr">
        <is>
          <t>Cálculos (não editar)</t>
        </is>
      </c>
    </row>
    <row r="6" ht="20" customHeight="1">
      <c r="B6" s="7" t="inlineStr">
        <is>
          <t>Área</t>
        </is>
      </c>
      <c r="C6" s="8" t="inlineStr">
        <is>
          <t>Média</t>
        </is>
      </c>
      <c r="D6" s="9">
        <f>"Evento com d20 ≥ "&amp;M6&amp;"   ·   Intensidade "&amp;TEXT(M20,"+0;-0;+0")&amp;"   ·   "&amp;INDEX(Ajustes!$F$6:$F$9,MATCH(C6,Ajustes!$B$6:$B$9,0))</f>
        <v/>
      </c>
      <c r="E6" s="4" t="n"/>
      <c r="F6" s="4" t="n"/>
      <c r="G6" s="5" t="n"/>
      <c r="L6" s="6" t="inlineStr">
        <is>
          <t>Limiar d20</t>
        </is>
      </c>
      <c r="M6" s="10">
        <f>INDEX(Ajustes!$D$6:$D$9,MATCH($C$6,Ajustes!$B$6:$B$9,0))</f>
        <v/>
      </c>
    </row>
    <row r="7" ht="20" customHeight="1">
      <c r="B7" s="7" t="inlineStr">
        <is>
          <t>Período</t>
        </is>
      </c>
      <c r="C7" s="8" t="inlineStr">
        <is>
          <t>Noite</t>
        </is>
      </c>
      <c r="D7" s="9">
        <f>"Mod. d20 "&amp;TEXT(M7,"+0;-0;+0")&amp;"   ·   Mod. d100 "&amp;TEXT(M8,"+0;-0;+0")&amp;"   ·   "&amp;INDEX(Ajustes!$G$13:$G$16,MATCH(C7,Ajustes!$B$13:$B$16,0))</f>
        <v/>
      </c>
      <c r="E7" s="4" t="n"/>
      <c r="F7" s="4" t="n"/>
      <c r="G7" s="5" t="n"/>
      <c r="L7" s="6" t="inlineStr">
        <is>
          <t>Mod período d20</t>
        </is>
      </c>
      <c r="M7" s="10">
        <f>INDEX(Ajustes!$D$13:$D$16,MATCH($C$7,Ajustes!$B$13:$B$16,0))</f>
        <v/>
      </c>
    </row>
    <row r="8" ht="20" customHeight="1">
      <c r="B8" s="7" t="inlineStr">
        <is>
          <t>Estação</t>
        </is>
      </c>
      <c r="C8" s="8" t="inlineStr">
        <is>
          <t>Outono</t>
        </is>
      </c>
      <c r="D8" s="9">
        <f>"Define a tabela de clima."</f>
        <v/>
      </c>
      <c r="E8" s="4" t="n"/>
      <c r="F8" s="4" t="n"/>
      <c r="G8" s="5" t="n"/>
      <c r="L8" s="6" t="inlineStr">
        <is>
          <t>Mod período d100</t>
        </is>
      </c>
      <c r="M8" s="10">
        <f>INDEX(Ajustes!$E$13:$E$16,MATCH($C$7,Ajustes!$B$13:$B$16,0))</f>
        <v/>
      </c>
    </row>
    <row r="9" ht="20" customHeight="1">
      <c r="B9" s="7" t="inlineStr">
        <is>
          <t>Terreno</t>
        </is>
      </c>
      <c r="C9" s="8" t="inlineStr">
        <is>
          <t>Floresta</t>
        </is>
      </c>
      <c r="D9" s="9">
        <f>INDEX(Ajustes!$C$35:$C$39,MATCH(C9,Ajustes!$B$35:$B$39,0))</f>
        <v/>
      </c>
      <c r="E9" s="4" t="n"/>
      <c r="F9" s="4" t="n"/>
      <c r="G9" s="5" t="n"/>
      <c r="L9" s="6" t="inlineStr">
        <is>
          <t>Mod situação d20</t>
        </is>
      </c>
      <c r="M9" s="10">
        <f>INDEX(Ajustes!$D$21:$D$24,MATCH($C$10,Ajustes!$B$21:$B$24,0))</f>
        <v/>
      </c>
    </row>
    <row r="10" ht="20" customHeight="1">
      <c r="B10" s="7" t="inlineStr">
        <is>
          <t>Situação do grupo</t>
        </is>
      </c>
      <c r="C10" s="8" t="inlineStr">
        <is>
          <t>Na estrada</t>
        </is>
      </c>
      <c r="D10" s="9">
        <f>"Mod. d20 "&amp;TEXT(M9,"+0;-0;+0")&amp;"   ·   "&amp;INDEX(Ajustes!$C$21:$C$24,MATCH(C10,Ajustes!$B$21:$B$24,0))</f>
        <v/>
      </c>
      <c r="E10" s="4" t="n"/>
      <c r="F10" s="4" t="n"/>
      <c r="G10" s="5" t="n"/>
      <c r="L10" s="6" t="inlineStr">
        <is>
          <t>Linha clima</t>
        </is>
      </c>
      <c r="M10" s="10">
        <f>MIN(11,COUNTIF(Clima!$T$6:$T$16,"&lt;"&amp;E14)+1)</f>
        <v/>
      </c>
    </row>
    <row r="11">
      <c r="L11" s="6" t="inlineStr">
        <is>
          <t>Mod clima d20</t>
        </is>
      </c>
      <c r="M11" s="10">
        <f>INDEX(Clima!$K$6:$K$16,M10)</f>
        <v/>
      </c>
    </row>
    <row r="12">
      <c r="B12" s="3" t="inlineStr">
        <is>
          <t>2. Rolagens</t>
        </is>
      </c>
      <c r="C12" s="4" t="n"/>
      <c r="D12" s="4" t="n"/>
      <c r="E12" s="4" t="n"/>
      <c r="F12" s="4" t="n"/>
      <c r="G12" s="5" t="n"/>
      <c r="L12" s="6" t="inlineStr">
        <is>
          <t>Mod clima d100</t>
        </is>
      </c>
      <c r="M12" s="10">
        <f>INDEX(Clima!$L$6:$L$16,M10)</f>
        <v/>
      </c>
    </row>
    <row r="13">
      <c r="B13" s="11" t="inlineStr">
        <is>
          <t>Etapa</t>
        </is>
      </c>
      <c r="C13" s="11" t="inlineStr">
        <is>
          <t>Dado</t>
        </is>
      </c>
      <c r="D13" s="11" t="inlineStr">
        <is>
          <t>Seu dado (opcional)</t>
        </is>
      </c>
      <c r="E13" s="11" t="inlineStr">
        <is>
          <t>Usado</t>
        </is>
      </c>
      <c r="F13" s="11" t="inlineStr">
        <is>
          <t>Resultado</t>
        </is>
      </c>
      <c r="G13" s="11" t="inlineStr">
        <is>
          <t>Detalhe</t>
        </is>
      </c>
      <c r="L13" s="6" t="inlineStr">
        <is>
          <t>Total d20</t>
        </is>
      </c>
      <c r="M13" s="10">
        <f>E15+M7+M9+M11</f>
        <v/>
      </c>
    </row>
    <row r="14" ht="30" customHeight="1">
      <c r="B14" s="7" t="inlineStr">
        <is>
          <t>Clima (1× por dia)</t>
        </is>
      </c>
      <c r="C14" s="12" t="inlineStr">
        <is>
          <t>d100</t>
        </is>
      </c>
      <c r="D14" s="13" t="n"/>
      <c r="E14" s="14">
        <f>IF(D14="",RANDBETWEEN(1,100),D14)</f>
        <v/>
      </c>
      <c r="F14" s="15">
        <f>INDEX(Clima!$B$6:$B$16,M10)</f>
        <v/>
      </c>
      <c r="G14" s="16">
        <f>INDEX(Clima!$M$6:$M$16,M10)</f>
        <v/>
      </c>
      <c r="L14" s="6" t="inlineStr">
        <is>
          <t>Acontece?</t>
        </is>
      </c>
      <c r="M14" s="10">
        <f>M13&gt;=M6</f>
        <v/>
      </c>
    </row>
    <row r="15" ht="30" customHeight="1">
      <c r="B15" s="7" t="inlineStr">
        <is>
          <t>Acontece algo?</t>
        </is>
      </c>
      <c r="C15" s="12" t="inlineStr">
        <is>
          <t>d20</t>
        </is>
      </c>
      <c r="D15" s="13" t="n"/>
      <c r="E15" s="14">
        <f>IF(D15="",RANDBETWEEN(1,20),D15)</f>
        <v/>
      </c>
      <c r="F15" s="15">
        <f>IF(M14,"SIM — algo acontece","Nada acontece")</f>
        <v/>
      </c>
      <c r="G15" s="16">
        <f>"d20 "&amp;E15&amp;" + mods "&amp;TEXT(M7+M9+M11,"+0;-0;+0")&amp;" = "&amp;M13&amp;"   (precisa de "&amp;M6&amp;"+)"</f>
        <v/>
      </c>
      <c r="L15" s="6" t="inlineStr">
        <is>
          <t>d100 ajustado</t>
        </is>
      </c>
      <c r="M15" s="10">
        <f>MAX(1,MIN(100,E16+M8+M12))</f>
        <v/>
      </c>
    </row>
    <row r="16" ht="30" customHeight="1">
      <c r="B16" s="7" t="inlineStr">
        <is>
          <t>Tipo de evento</t>
        </is>
      </c>
      <c r="C16" s="12" t="inlineStr">
        <is>
          <t>d100</t>
        </is>
      </c>
      <c r="D16" s="13" t="n"/>
      <c r="E16" s="14">
        <f>IF(D16="",RANDBETWEEN(1,100),D16)</f>
        <v/>
      </c>
      <c r="F16" s="15">
        <f>IF(M14,INDEX('Tipo de evento'!$B$6:$B$13,M16),"—")</f>
        <v/>
      </c>
      <c r="G16" s="16">
        <f>IF(M14,"d100 "&amp;E16&amp;" + mods "&amp;TEXT(M8+M12,"+0;-0;+0")&amp;" = "&amp;M15&amp;IF(M17="—","","   ·   envolve: "&amp;M17),"—")</f>
        <v/>
      </c>
      <c r="L16" s="6" t="inlineStr">
        <is>
          <t>Linha tipo</t>
        </is>
      </c>
      <c r="M16" s="10">
        <f>MIN(8,COUNTIF('Tipo de evento'!$T$6:$T$13,"&lt;"&amp;M15)+1)</f>
        <v/>
      </c>
    </row>
    <row r="17" ht="30" customHeight="1">
      <c r="B17" s="7" t="inlineStr">
        <is>
          <t>Qual evento</t>
        </is>
      </c>
      <c r="C17" s="12" t="inlineStr">
        <is>
          <t>d6</t>
        </is>
      </c>
      <c r="D17" s="13" t="n"/>
      <c r="E17" s="14">
        <f>IF(D17="",RANDBETWEEN(1,6),D17)</f>
        <v/>
      </c>
      <c r="F17" s="15">
        <f>IF(M18=0,"—",INDEX(Eventos!$D$1:$D$52,M18))</f>
        <v/>
      </c>
      <c r="G17" s="16">
        <f>IF(M18=0,"—",INDEX(Eventos!$E$1:$E$52,M18)&amp;"  (melhor: "&amp;INDEX(Eventos!$H$1:$H$52,M18)&amp;")")</f>
        <v/>
      </c>
      <c r="L17" s="6" t="inlineStr">
        <is>
          <t>Categoria criatura</t>
        </is>
      </c>
      <c r="M17" s="10">
        <f>IF(M14,INDEX('Tipo de evento'!$K$6:$K$13,M16),"—")</f>
        <v/>
      </c>
    </row>
    <row r="18" ht="30" customHeight="1">
      <c r="B18" s="7" t="inlineStr">
        <is>
          <t>Criatura</t>
        </is>
      </c>
      <c r="C18" s="12" t="inlineStr">
        <is>
          <t>d100</t>
        </is>
      </c>
      <c r="D18" s="13" t="n"/>
      <c r="E18" s="14">
        <f>IF(D18="",RANDBETWEEN(1,100),D18)</f>
        <v/>
      </c>
      <c r="F18" s="15">
        <f>IF(M19=0,"—",INDEX(Criaturas!$B$6:$B$38,M19))</f>
        <v/>
      </c>
      <c r="G18" s="16">
        <f>IF(M19=0,"—","NP "&amp;INDEX(Criaturas!$E$6:$E$38,M19)&amp;"   ·   "&amp;INDEX(Criaturas!$H$6:$H$38,M19)&amp;"   ·   ficha: "&amp;INDEX(Criaturas!$C$6:$C$38,M19))</f>
        <v/>
      </c>
      <c r="L18" s="6" t="inlineStr">
        <is>
          <t>Linha evento</t>
        </is>
      </c>
      <c r="M18" s="10">
        <f>IF(M14,IFERROR(MATCH(F16&amp;"|"&amp;E17,Eventos!$A$1:$A$52,0),0),0)</f>
        <v/>
      </c>
    </row>
    <row r="19" ht="30" customHeight="1">
      <c r="B19" s="7" t="inlineStr">
        <is>
          <t>Intensidade</t>
        </is>
      </c>
      <c r="C19" s="12" t="inlineStr">
        <is>
          <t>d6</t>
        </is>
      </c>
      <c r="D19" s="13" t="n"/>
      <c r="E19" s="14">
        <f>IF(D19="",RANDBETWEEN(1,6),D19)</f>
        <v/>
      </c>
      <c r="F19" s="15">
        <f>IF(M19=0,"—",INDEX(Intensidade!$C$5:$C$12,M21))</f>
        <v/>
      </c>
      <c r="G19" s="16">
        <f>IF(M19=0,"—","d6 "&amp;E19&amp;" "&amp;TEXT(M20,"+0;-0;+0")&amp;" = "&amp;M21&amp;"   ·   "&amp;INDEX(Intensidade!$D$5:$D$12,M21))</f>
        <v/>
      </c>
      <c r="L19" s="6" t="inlineStr">
        <is>
          <t>Linha criatura</t>
        </is>
      </c>
      <c r="M19" s="10">
        <f>IF(M17="—",0,IF(MAX(Criaturas!$Q$6:$Q$38)=0,0,MIN(33,COUNTIF(Criaturas!$Q$6:$Q$38,"&lt;"&amp;E18/100*MAX(Criaturas!$Q$6:$Q$38))+1)))</f>
        <v/>
      </c>
    </row>
    <row r="20">
      <c r="L20" s="6" t="inlineStr">
        <is>
          <t>Mod intensidade</t>
        </is>
      </c>
      <c r="M20" s="10">
        <f>INDEX(Ajustes!$E$6:$E$9,MATCH($C$6,Ajustes!$B$6:$B$9,0))</f>
        <v/>
      </c>
    </row>
    <row r="21">
      <c r="B21" s="3" t="inlineStr">
        <is>
          <t>3. Para narrar</t>
        </is>
      </c>
      <c r="C21" s="4" t="n"/>
      <c r="D21" s="4" t="n"/>
      <c r="E21" s="4" t="n"/>
      <c r="F21" s="4" t="n"/>
      <c r="G21" s="5" t="n"/>
      <c r="L21" s="6" t="inlineStr">
        <is>
          <t>Intensidade</t>
        </is>
      </c>
      <c r="M21" s="10">
        <f>MAX(1,MIN(8,E19+M20))</f>
        <v/>
      </c>
    </row>
    <row r="22" ht="36" customHeight="1">
      <c r="B22" s="7" t="inlineStr">
        <is>
          <t>Clima</t>
        </is>
      </c>
      <c r="C22" s="16">
        <f>F14&amp;": "&amp;INDEX(Clima!$M$6:$M$16,M10)&amp;"  Regra: "&amp;INDEX(Clima!$N$6:$N$16,M10)</f>
        <v/>
      </c>
      <c r="D22" s="4" t="n"/>
      <c r="E22" s="4" t="n"/>
      <c r="F22" s="4" t="n"/>
      <c r="G22" s="5" t="n"/>
    </row>
    <row r="23" ht="36" customHeight="1">
      <c r="B23" s="7" t="inlineStr">
        <is>
          <t>Cena</t>
        </is>
      </c>
      <c r="C23" s="16">
        <f>IF(M18=0,"Nada relevante neste período. Descreva a paisagem e o clima e avance a viagem.",F17&amp;": "&amp;INDEX(Eventos!$E$1:$E$52,M18))</f>
        <v/>
      </c>
      <c r="D23" s="4" t="n"/>
      <c r="E23" s="4" t="n"/>
      <c r="F23" s="4" t="n"/>
      <c r="G23" s="5" t="n"/>
    </row>
    <row r="24" ht="36" customHeight="1">
      <c r="B24" s="7" t="inlineStr">
        <is>
          <t>Opções do jogador</t>
        </is>
      </c>
      <c r="C24" s="16">
        <f>IF(M18=0,"—",INDEX(Eventos!$F$1:$F$52,M18))</f>
        <v/>
      </c>
      <c r="D24" s="4" t="n"/>
      <c r="E24" s="4" t="n"/>
      <c r="F24" s="4" t="n"/>
      <c r="G24" s="5" t="n"/>
    </row>
    <row r="25" ht="36" customHeight="1">
      <c r="B25" s="7" t="inlineStr">
        <is>
          <t>Nota do mestre</t>
        </is>
      </c>
      <c r="C25" s="16">
        <f>IF(M18=0,"—",INDEX(Eventos!$G$1:$G$52,M18))</f>
        <v/>
      </c>
      <c r="D25" s="4" t="n"/>
      <c r="E25" s="4" t="n"/>
      <c r="F25" s="4" t="n"/>
      <c r="G25" s="5" t="n"/>
    </row>
    <row r="26" ht="36" customHeight="1">
      <c r="B26" s="7" t="inlineStr">
        <is>
          <t>Criatura</t>
        </is>
      </c>
      <c r="C26" s="16">
        <f>IF(M19=0,"—",IF(F16="Pista / presságio","Quem deixou o sinal: ","")&amp;F18&amp;" — "&amp;INDEX(Criaturas!$M$6:$M$38,M19))</f>
        <v/>
      </c>
      <c r="D26" s="4" t="n"/>
      <c r="E26" s="4" t="n"/>
      <c r="F26" s="4" t="n"/>
      <c r="G26" s="5" t="n"/>
    </row>
    <row r="27" ht="36" customHeight="1">
      <c r="B27" s="7" t="inlineStr">
        <is>
          <t>Intensidade</t>
        </is>
      </c>
      <c r="C27" s="16">
        <f>IF(M19=0,"—",IF(F16="Pista / presságio","Pista: a criatura não aparece agora. Se o grupo seguir o rastro, use: ","")&amp;F19&amp;" — "&amp;INDEX(Intensidade!$E$5:$E$12,M21))</f>
        <v/>
      </c>
      <c r="D27" s="4" t="n"/>
      <c r="E27" s="4" t="n"/>
      <c r="F27" s="4" t="n"/>
      <c r="G27" s="5" t="n"/>
    </row>
    <row r="28" ht="36" customHeight="1">
      <c r="B28" s="7" t="inlineStr">
        <is>
          <t>Regras fixas</t>
        </is>
      </c>
      <c r="C28" s="17" t="inlineStr">
        <is>
          <t>Máx. 1 combate relevante por dia de viagem · Nunca contradiga a missão (se ela diz leshen, não vira carniçal) · Resultado que não faz sentido no lugar: role de novo ou escolha o mais próximo · Clima: 1d6 na troca de período, 6 = muda.</t>
        </is>
      </c>
      <c r="D28" s="4" t="n"/>
      <c r="E28" s="4" t="n"/>
      <c r="F28" s="4" t="n"/>
      <c r="G28" s="5" t="n"/>
    </row>
  </sheetData>
  <mergeCells count="16">
    <mergeCell ref="B2:G2"/>
    <mergeCell ref="C22:G22"/>
    <mergeCell ref="D9:G9"/>
    <mergeCell ref="C24:G24"/>
    <mergeCell ref="D8:G8"/>
    <mergeCell ref="D6:G6"/>
    <mergeCell ref="C25:G25"/>
    <mergeCell ref="C28:G28"/>
    <mergeCell ref="D7:G7"/>
    <mergeCell ref="B4:G4"/>
    <mergeCell ref="C27:G27"/>
    <mergeCell ref="B12:G12"/>
    <mergeCell ref="C23:G23"/>
    <mergeCell ref="D10:G10"/>
    <mergeCell ref="B21:G21"/>
    <mergeCell ref="C26:G26"/>
  </mergeCells>
  <dataValidations count="11">
    <dataValidation sqref="C6" showDropDown="0" showInputMessage="0" showErrorMessage="0" allowBlank="0" type="list">
      <formula1>=Ajustes!$B$6:$B$9</formula1>
    </dataValidation>
    <dataValidation sqref="C7" showDropDown="0" showInputMessage="0" showErrorMessage="0" allowBlank="0" type="list">
      <formula1>=Ajustes!$B$13:$B$16</formula1>
    </dataValidation>
    <dataValidation sqref="C8" showDropDown="0" showInputMessage="0" showErrorMessage="0" allowBlank="0" type="list">
      <formula1>=Clima!$C$5:$F$5</formula1>
    </dataValidation>
    <dataValidation sqref="C9" showDropDown="0" showInputMessage="0" showErrorMessage="0" allowBlank="0" type="list">
      <formula1>=Ajustes!$B$35:$B$39</formula1>
    </dataValidation>
    <dataValidation sqref="C10" showDropDown="0" showInputMessage="0" showErrorMessage="0" allowBlank="0" type="list">
      <formula1>=Ajustes!$B$21:$B$24</formula1>
    </dataValidation>
    <dataValidation sqref="D14" showDropDown="0" showInputMessage="0" showErrorMessage="0" allowBlank="1" errorTitle="Valor fora do dado" error="Digite um número de 1 a 100" type="whole" operator="between">
      <formula1>1</formula1>
      <formula2>100</formula2>
    </dataValidation>
    <dataValidation sqref="D15" showDropDown="0" showInputMessage="0" showErrorMessage="0" allowBlank="1" errorTitle="Valor fora do dado" error="Digite um número de 1 a 20" type="whole" operator="between">
      <formula1>1</formula1>
      <formula2>20</formula2>
    </dataValidation>
    <dataValidation sqref="D16" showDropDown="0" showInputMessage="0" showErrorMessage="0" allowBlank="1" errorTitle="Valor fora do dado" error="Digite um número de 1 a 100" type="whole" operator="between">
      <formula1>1</formula1>
      <formula2>100</formula2>
    </dataValidation>
    <dataValidation sqref="D17" showDropDown="0" showInputMessage="0" showErrorMessage="0" allowBlank="1" errorTitle="Valor fora do dado" error="Digite um número de 1 a 6" type="whole" operator="between">
      <formula1>1</formula1>
      <formula2>6</formula2>
    </dataValidation>
    <dataValidation sqref="D18" showDropDown="0" showInputMessage="0" showErrorMessage="0" allowBlank="1" errorTitle="Valor fora do dado" error="Digite um número de 1 a 100" type="whole" operator="between">
      <formula1>1</formula1>
      <formula2>100</formula2>
    </dataValidation>
    <dataValidation sqref="D19" showDropDown="0" showInputMessage="0" showErrorMessage="0" allowBlank="1" errorTitle="Valor fora do dado" error="Digite um número de 1 a 6" type="whole" operator="between">
      <formula1>1</formula1>
      <formula2>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4F3A"/>
    <outlinePr summaryBelow="1" summaryRight="1"/>
    <pageSetUpPr/>
  </sheetPr>
  <dimension ref="B1:E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26" customWidth="1" min="3" max="3"/>
    <col width="10" customWidth="1" min="4" max="4"/>
    <col width="90" customWidth="1" min="5" max="5"/>
  </cols>
  <sheetData>
    <row r="1" ht="28" customHeight="1">
      <c r="B1" s="1" t="inlineStr">
        <is>
          <t>Como usar — eventos de viagem (The Witcher × M&amp;M 3e)</t>
        </is>
      </c>
    </row>
    <row r="2">
      <c r="B2" s="2" t="inlineStr">
        <is>
          <t>Use no Painel. Role uma vez por período (manhã, tarde, noite, madrugada) em que o grupo viaja ou acampa.</t>
        </is>
      </c>
    </row>
    <row r="4">
      <c r="B4" s="11" t="inlineStr">
        <is>
          <t>Passo</t>
        </is>
      </c>
      <c r="C4" s="11" t="inlineStr">
        <is>
          <t>O que fazer</t>
        </is>
      </c>
      <c r="D4" s="11" t="inlineStr">
        <is>
          <t>Dado</t>
        </is>
      </c>
      <c r="E4" s="11" t="inlineStr">
        <is>
          <t>Detalhes</t>
        </is>
      </c>
    </row>
    <row r="5" ht="32" customHeight="1">
      <c r="B5" s="14" t="inlineStr">
        <is>
          <t>0</t>
        </is>
      </c>
      <c r="C5" s="7" t="inlineStr">
        <is>
          <t>Situação</t>
        </is>
      </c>
      <c r="D5" s="12" t="inlineStr">
        <is>
          <t>—</t>
        </is>
      </c>
      <c r="E5" s="17" t="inlineStr">
        <is>
          <t>No Painel, escolha Área (Tranquila, Média, Perigosa, Mortal), Período, Estação, Terreno e Situação do grupo.</t>
        </is>
      </c>
    </row>
    <row r="6" ht="32" customHeight="1">
      <c r="B6" s="14" t="inlineStr">
        <is>
          <t>1</t>
        </is>
      </c>
      <c r="C6" s="7" t="inlineStr">
        <is>
          <t>Clima</t>
        </is>
      </c>
      <c r="D6" s="12" t="inlineStr">
        <is>
          <t>d100</t>
        </is>
      </c>
      <c r="E6" s="17" t="inlineStr">
        <is>
          <t>No início do dia. Tabela pela estação (aba Clima). Na troca de período role 1d6: no 6 o clima muda. Neblina deixa eventos mais prováveis e estranhos; tempestade, frio e nevasca esvaziam a estrada.</t>
        </is>
      </c>
    </row>
    <row r="7" ht="32" customHeight="1">
      <c r="B7" s="14" t="inlineStr">
        <is>
          <t>2</t>
        </is>
      </c>
      <c r="C7" s="7" t="inlineStr">
        <is>
          <t>Acontece algo?</t>
        </is>
      </c>
      <c r="D7" s="12" t="inlineStr">
        <is>
          <t>d20</t>
        </is>
      </c>
      <c r="E7" s="17" t="inlineStr">
        <is>
          <t>d20 + mod. do período + mod. da situação + mod. do clima ≥ limiar da área (Tranquila 17, Média 14, Perigosa 11, Mortal 8). Se não, só descreva a viagem.</t>
        </is>
      </c>
    </row>
    <row r="8" ht="32" customHeight="1">
      <c r="B8" s="14" t="inlineStr">
        <is>
          <t>3</t>
        </is>
      </c>
      <c r="C8" s="7" t="inlineStr">
        <is>
          <t>Tipo de evento</t>
        </is>
      </c>
      <c r="D8" s="12" t="inlineStr">
        <is>
          <t>d100</t>
        </is>
      </c>
      <c r="E8" s="17" t="inlineStr">
        <is>
          <t>d100 + mod. do período e do clima, na coluna da área (aba Tipo de evento). Manhã puxa para o cotidiano; madrugada puxa para monstros e sobrenatural.</t>
        </is>
      </c>
    </row>
    <row r="9" ht="32" customHeight="1">
      <c r="B9" s="14" t="inlineStr">
        <is>
          <t>4</t>
        </is>
      </c>
      <c r="C9" s="7" t="inlineStr">
        <is>
          <t>Qual evento</t>
        </is>
      </c>
      <c r="D9" s="12" t="inlineStr">
        <is>
          <t>d6</t>
        </is>
      </c>
      <c r="E9" s="17" t="inlineStr">
        <is>
          <t>d6 dentro do tipo (aba Eventos). Se não combinar com o período ou o lugar, role de novo.</t>
        </is>
      </c>
    </row>
    <row r="10" ht="32" customHeight="1">
      <c r="B10" s="14" t="inlineStr">
        <is>
          <t>5</t>
        </is>
      </c>
      <c r="C10" s="7" t="inlineStr">
        <is>
          <t>Criatura</t>
        </is>
      </c>
      <c r="D10" s="12" t="inlineStr">
        <is>
          <t>d100</t>
        </is>
      </c>
      <c r="E10" s="17" t="inlineStr">
        <is>
          <t>Só se o tipo envolve criatura (Pista, Humanos hostis, Fera, Monstro, Sobrenatural). A aba Criaturas filtra pela categoria e pesa por área, período e terreno. Em Pista, é quem deixou o sinal.</t>
        </is>
      </c>
    </row>
    <row r="11" ht="32" customHeight="1">
      <c r="B11" s="14" t="inlineStr">
        <is>
          <t>6</t>
        </is>
      </c>
      <c r="C11" s="7" t="inlineStr">
        <is>
          <t>Intensidade</t>
        </is>
      </c>
      <c r="D11" s="12" t="inlineStr">
        <is>
          <t>d6</t>
        </is>
      </c>
      <c r="E11" s="17" t="inlineStr">
        <is>
          <t>d6 + mod. da área (−1 a +2). De 'só sinais' a 'emboscada + complicação' (aba Intensidade).</t>
        </is>
      </c>
    </row>
    <row r="13">
      <c r="B13" s="3" t="inlineStr">
        <is>
          <t>Regras fixas</t>
        </is>
      </c>
      <c r="C13" s="4" t="n"/>
      <c r="D13" s="4" t="n"/>
      <c r="E13" s="5" t="n"/>
    </row>
    <row r="14">
      <c r="B14" s="18" t="inlineStr">
        <is>
          <t>• Personagem solo: resultado alto vira pressão, perseguição, obstáculo ou fuga, não mais inimigos.</t>
        </is>
      </c>
    </row>
    <row r="15">
      <c r="B15" s="18" t="inlineStr">
        <is>
          <t>• Coerência: nunca contradiga a missão. Se ela diz que há um leshen, a tabela não o transforma em carniçal.</t>
        </is>
      </c>
    </row>
    <row r="16">
      <c r="B16" s="18" t="inlineStr">
        <is>
          <t>• Ritmo: no máximo 1 combate relevante por dia de viagem, salvo viagem deliberadamente perigosa.</t>
        </is>
      </c>
    </row>
    <row r="17">
      <c r="B17" s="18" t="inlineStr">
        <is>
          <t>• M&amp;M 3e: NP e fichas base são ponto de partida; ajuste ao personagem. Fichas em dados/bestiario/fantasia; humanos saem do gerador de NPC (arquétipos de fantasia).</t>
        </is>
      </c>
    </row>
    <row r="18">
      <c r="B18" s="18" t="inlineStr">
        <is>
          <t>• Sem planilha à mão: as abas Clima, Tipo de evento, Eventos e Intensidade funcionam impressas, lendo as faixas da área e estação.</t>
        </is>
      </c>
    </row>
    <row r="20">
      <c r="B20" s="3" t="inlineStr">
        <is>
          <t>Cores</t>
        </is>
      </c>
      <c r="C20" s="4" t="n"/>
      <c r="D20" s="4" t="n"/>
      <c r="E20" s="5" t="n"/>
    </row>
    <row r="21">
      <c r="B21" s="19" t="inlineStr"/>
      <c r="C21" s="18" t="inlineStr">
        <is>
          <t>Amarelo com texto azul: pode editar (escolhas, dados rolados, pesos, modificadores).</t>
        </is>
      </c>
    </row>
    <row r="22">
      <c r="B22" s="16" t="inlineStr"/>
      <c r="C22" s="18" t="inlineStr">
        <is>
          <t>Bege: resultado calculado. Texto cinza: cálculos auxiliares, não edite.</t>
        </is>
      </c>
    </row>
  </sheetData>
  <mergeCells count="9">
    <mergeCell ref="B17:E17"/>
    <mergeCell ref="B18:E18"/>
    <mergeCell ref="B13:E13"/>
    <mergeCell ref="C22:E22"/>
    <mergeCell ref="B16:E16"/>
    <mergeCell ref="B15:E15"/>
    <mergeCell ref="B20:E20"/>
    <mergeCell ref="C21:E21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89A"/>
    <outlinePr summaryBelow="1" summaryRight="1"/>
    <pageSetUpPr/>
  </sheetPr>
  <dimension ref="B1:G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4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1" ht="28" customHeight="1">
      <c r="B1" s="1" t="inlineStr">
        <is>
          <t>Ajustes da viagem</t>
        </is>
      </c>
    </row>
    <row r="2">
      <c r="B2" s="2" t="inlineStr">
        <is>
          <t>Células amarelas com texto azul podem ser editadas. Painel, Criaturas e chances recalculam sozinhos.</t>
        </is>
      </c>
    </row>
    <row r="4">
      <c r="B4" s="3" t="inlineStr">
        <is>
          <t>Área — quão perigoso é o trecho</t>
        </is>
      </c>
    </row>
    <row r="5">
      <c r="B5" s="11" t="inlineStr">
        <is>
          <t>Área</t>
        </is>
      </c>
      <c r="C5" s="11" t="inlineStr">
        <is>
          <t>Quando usar</t>
        </is>
      </c>
      <c r="D5" s="11" t="inlineStr">
        <is>
          <t>Evento se d20 ≥</t>
        </is>
      </c>
      <c r="E5" s="11" t="inlineStr">
        <is>
          <t>Mod. intensidade</t>
        </is>
      </c>
      <c r="F5" s="11" t="inlineStr">
        <is>
          <t>NP sugerido</t>
        </is>
      </c>
      <c r="G5" s="11" t="inlineStr">
        <is>
          <t>Exemplos</t>
        </is>
      </c>
    </row>
    <row r="6">
      <c r="B6" s="7" t="inlineStr">
        <is>
          <t>Tranquila</t>
        </is>
      </c>
      <c r="C6" s="17" t="inlineStr">
        <is>
          <t>Estrada principal, patrulhada, perto de cidades</t>
        </is>
      </c>
      <c r="D6" s="13" t="n">
        <v>17</v>
      </c>
      <c r="E6" s="20" t="n">
        <v>-1</v>
      </c>
      <c r="F6" s="13" t="inlineStr">
        <is>
          <t>NP 2–4</t>
        </is>
      </c>
      <c r="G6" s="17" t="inlineStr">
        <is>
          <t>Novigrad–Oxenfurt, rotas comerciais de Temeria</t>
        </is>
      </c>
    </row>
    <row r="7">
      <c r="B7" s="7" t="inlineStr">
        <is>
          <t>Média</t>
        </is>
      </c>
      <c r="C7" s="17" t="inlineStr">
        <is>
          <t>Estradas comuns do reino, fazendas e aldeias espaçadas</t>
        </is>
      </c>
      <c r="D7" s="13" t="n">
        <v>14</v>
      </c>
      <c r="E7" s="20" t="n">
        <v>0</v>
      </c>
      <c r="F7" s="13" t="inlineStr">
        <is>
          <t>NP 3–5</t>
        </is>
      </c>
      <c r="G7" s="17" t="inlineStr">
        <is>
          <t>Interior de Redânia, Aedirn</t>
        </is>
      </c>
    </row>
    <row r="8">
      <c r="B8" s="7" t="inlineStr">
        <is>
          <t>Perigosa</t>
        </is>
      </c>
      <c r="C8" s="17" t="inlineStr">
        <is>
          <t>Fronteira, floresta densa, pântano, região em guerra</t>
        </is>
      </c>
      <c r="D8" s="13" t="n">
        <v>11</v>
      </c>
      <c r="E8" s="20" t="n">
        <v>1</v>
      </c>
      <c r="F8" s="13" t="inlineStr">
        <is>
          <t>NP 4–7</t>
        </is>
      </c>
      <c r="G8" s="17" t="inlineStr">
        <is>
          <t>Velen, margens do Pontar, Brokilon (borda)</t>
        </is>
      </c>
    </row>
    <row r="9">
      <c r="B9" s="7" t="inlineStr">
        <is>
          <t>Mortal</t>
        </is>
      </c>
      <c r="C9" s="17" t="inlineStr">
        <is>
          <t>Ermos, terra amaldiçoada, campo de batalha recente</t>
        </is>
      </c>
      <c r="D9" s="13" t="n">
        <v>8</v>
      </c>
      <c r="E9" s="20" t="n">
        <v>2</v>
      </c>
      <c r="F9" s="13" t="inlineStr">
        <is>
          <t>NP 5–9</t>
        </is>
      </c>
      <c r="G9" s="17" t="inlineStr">
        <is>
          <t>Pântanos de Velen, Montanhas Azuis, ruínas élficas</t>
        </is>
      </c>
    </row>
    <row r="11">
      <c r="B11" s="3" t="inlineStr">
        <is>
          <t>Período do dia — role uma vez por período</t>
        </is>
      </c>
    </row>
    <row r="12">
      <c r="B12" s="11" t="inlineStr">
        <is>
          <t>Período</t>
        </is>
      </c>
      <c r="C12" s="11" t="inlineStr">
        <is>
          <t>Horário</t>
        </is>
      </c>
      <c r="D12" s="11" t="inlineStr">
        <is>
          <t>Mod. d20 (acontece?)</t>
        </is>
      </c>
      <c r="E12" s="11" t="inlineStr">
        <is>
          <t>Mod. d100 (tipo)</t>
        </is>
      </c>
      <c r="F12" s="11" t="inlineStr"/>
      <c r="G12" s="11" t="inlineStr">
        <is>
          <t>Notas de mesa</t>
        </is>
      </c>
    </row>
    <row r="13">
      <c r="B13" s="7" t="inlineStr">
        <is>
          <t>Manhã</t>
        </is>
      </c>
      <c r="C13" s="17" t="inlineStr">
        <is>
          <t>Amanhecer ao meio-dia</t>
        </is>
      </c>
      <c r="D13" s="20" t="n">
        <v>-2</v>
      </c>
      <c r="E13" s="20" t="n">
        <v>-10</v>
      </c>
      <c r="F13" s="17" t="inlineStr"/>
      <c r="G13" s="17" t="inlineStr">
        <is>
          <t>Respiro. Bom para social, obstáculos e pistas deixadas durante a noite.</t>
        </is>
      </c>
    </row>
    <row r="14">
      <c r="B14" s="7" t="inlineStr">
        <is>
          <t>Tarde</t>
        </is>
      </c>
      <c r="C14" s="17" t="inlineStr">
        <is>
          <t>Meio-dia ao entardecer</t>
        </is>
      </c>
      <c r="D14" s="20" t="n">
        <v>0</v>
      </c>
      <c r="E14" s="20" t="n">
        <v>0</v>
      </c>
      <c r="F14" s="17" t="inlineStr"/>
      <c r="G14" s="17" t="inlineStr">
        <is>
          <t>Viagem plena. Bandidos e patrulhas; o fim da tarde já traz presságios.</t>
        </is>
      </c>
    </row>
    <row r="15">
      <c r="B15" s="7" t="inlineStr">
        <is>
          <t>Noite</t>
        </is>
      </c>
      <c r="C15" s="17" t="inlineStr">
        <is>
          <t>Entardecer à meia-noite</t>
        </is>
      </c>
      <c r="D15" s="20" t="n">
        <v>2</v>
      </c>
      <c r="E15" s="20" t="n">
        <v>10</v>
      </c>
      <c r="F15" s="17" t="inlineStr"/>
      <c r="G15" s="17" t="inlineStr">
        <is>
          <t>Acampamento, fogueira e vigília. Feras e monstros saem.</t>
        </is>
      </c>
    </row>
    <row r="16">
      <c r="B16" s="7" t="inlineStr">
        <is>
          <t>Madrugada</t>
        </is>
      </c>
      <c r="C16" s="17" t="inlineStr">
        <is>
          <t>Meia-noite ao amanhecer</t>
        </is>
      </c>
      <c r="D16" s="20" t="n">
        <v>3</v>
      </c>
      <c r="E16" s="20" t="n">
        <v>15</v>
      </c>
      <c r="F16" s="17" t="inlineStr"/>
      <c r="G16" s="17" t="inlineStr">
        <is>
          <t>A hora dos espectros. Prefira sinais e pressão antes do combate.</t>
        </is>
      </c>
    </row>
    <row r="17">
      <c r="B17" s="21" t="inlineStr">
        <is>
          <t>O mod. d100 empurra a rolagem de tipo para baixo (cotidiano) de manhã e para cima (monstros e sobrenatural) de madrugada.</t>
        </is>
      </c>
    </row>
    <row r="19">
      <c r="B19" s="3" t="inlineStr">
        <is>
          <t>Situação do grupo</t>
        </is>
      </c>
    </row>
    <row r="20">
      <c r="B20" s="11" t="inlineStr">
        <is>
          <t>Situação</t>
        </is>
      </c>
      <c r="C20" s="11" t="inlineStr">
        <is>
          <t>Descrição</t>
        </is>
      </c>
      <c r="D20" s="11" t="inlineStr">
        <is>
          <t>Mod. d20 (acontece?)</t>
        </is>
      </c>
    </row>
    <row r="21">
      <c r="B21" s="7" t="inlineStr">
        <is>
          <t>Na estrada</t>
        </is>
      </c>
      <c r="C21" s="17" t="inlineStr">
        <is>
          <t>Viajando ou em pausa curta.</t>
        </is>
      </c>
      <c r="D21" s="20" t="n">
        <v>0</v>
      </c>
    </row>
    <row r="22">
      <c r="B22" s="7" t="inlineStr">
        <is>
          <t>Acampado com fogueira</t>
        </is>
      </c>
      <c r="C22" s="17" t="inlineStr">
        <is>
          <t>O fogo afasta feras, mas é visto de longe.</t>
        </is>
      </c>
      <c r="D22" s="20" t="n">
        <v>1</v>
      </c>
    </row>
    <row r="23">
      <c r="B23" s="7" t="inlineStr">
        <is>
          <t>Acampado escondido</t>
        </is>
      </c>
      <c r="C23" s="17" t="inlineStr">
        <is>
          <t>Sem fogo: frio e desconforto, mas difícil de achar.</t>
        </is>
      </c>
      <c r="D23" s="20" t="n">
        <v>-2</v>
      </c>
    </row>
    <row r="24">
      <c r="B24" s="7" t="inlineStr">
        <is>
          <t>Abrigo seguro</t>
        </is>
      </c>
      <c r="C24" s="17" t="inlineStr">
        <is>
          <t>Estalagem, aldeia ou casa. Só acontece algo se for importante.</t>
        </is>
      </c>
      <c r="D24" s="20" t="n">
        <v>-6</v>
      </c>
    </row>
    <row r="26">
      <c r="B26" s="3" t="inlineStr">
        <is>
          <t>Atividade da criatura × período (multiplica o peso na aba Criaturas)</t>
        </is>
      </c>
    </row>
    <row r="27">
      <c r="B27" s="11" t="inlineStr">
        <is>
          <t>Atividade</t>
        </is>
      </c>
      <c r="C27" s="11" t="inlineStr">
        <is>
          <t>Manhã</t>
        </is>
      </c>
      <c r="D27" s="11" t="inlineStr">
        <is>
          <t>Tarde</t>
        </is>
      </c>
      <c r="E27" s="11" t="inlineStr">
        <is>
          <t>Noite</t>
        </is>
      </c>
      <c r="F27" s="11" t="inlineStr">
        <is>
          <t>Madrugada</t>
        </is>
      </c>
    </row>
    <row r="28">
      <c r="B28" s="7" t="inlineStr">
        <is>
          <t>Diurna</t>
        </is>
      </c>
      <c r="C28" s="22" t="n">
        <v>1.5</v>
      </c>
      <c r="D28" s="22" t="n">
        <v>1.5</v>
      </c>
      <c r="E28" s="22" t="n">
        <v>0.5</v>
      </c>
      <c r="F28" s="22" t="n">
        <v>0.25</v>
      </c>
    </row>
    <row r="29">
      <c r="B29" s="7" t="inlineStr">
        <is>
          <t>Noturna</t>
        </is>
      </c>
      <c r="C29" s="22" t="n">
        <v>0.25</v>
      </c>
      <c r="D29" s="22" t="n">
        <v>0.5</v>
      </c>
      <c r="E29" s="22" t="n">
        <v>1.5</v>
      </c>
      <c r="F29" s="22" t="n">
        <v>2</v>
      </c>
    </row>
    <row r="30">
      <c r="B30" s="7" t="inlineStr">
        <is>
          <t>Qualquer</t>
        </is>
      </c>
      <c r="C30" s="22" t="n">
        <v>1</v>
      </c>
      <c r="D30" s="22" t="n">
        <v>1</v>
      </c>
      <c r="E30" s="22" t="n">
        <v>1</v>
      </c>
      <c r="F30" s="22" t="n">
        <v>1</v>
      </c>
    </row>
    <row r="31">
      <c r="B31" s="7" t="inlineStr">
        <is>
          <t>Fator fora do terreno</t>
        </is>
      </c>
      <c r="C31" s="22" t="n">
        <v>0.1</v>
      </c>
      <c r="D31" s="21" t="inlineStr">
        <is>
          <t>Criatura fora do terreno dela fica rara (peso × este fator), mas não impossível.</t>
        </is>
      </c>
    </row>
    <row r="33">
      <c r="B33" s="3" t="inlineStr">
        <is>
          <t>Terreno do trecho</t>
        </is>
      </c>
    </row>
    <row r="34">
      <c r="B34" s="11" t="inlineStr">
        <is>
          <t>Terreno</t>
        </is>
      </c>
      <c r="C34" s="11" t="inlineStr">
        <is>
          <t>Inclui</t>
        </is>
      </c>
    </row>
    <row r="35">
      <c r="B35" s="7" t="inlineStr">
        <is>
          <t>Estrada</t>
        </is>
      </c>
      <c r="C35" s="17" t="inlineStr">
        <is>
          <t>Estradas, campos, fazendas, trigais</t>
        </is>
      </c>
    </row>
    <row r="36">
      <c r="B36" s="7" t="inlineStr">
        <is>
          <t>Floresta</t>
        </is>
      </c>
      <c r="C36" s="17" t="inlineStr">
        <is>
          <t>Bosques, mata fechada, clareiras</t>
        </is>
      </c>
    </row>
    <row r="37">
      <c r="B37" s="7" t="inlineStr">
        <is>
          <t>Pântano</t>
        </is>
      </c>
      <c r="C37" s="17" t="inlineStr">
        <is>
          <t>Pântanos, rios, lagos, margens e costas</t>
        </is>
      </c>
    </row>
    <row r="38">
      <c r="B38" s="7" t="inlineStr">
        <is>
          <t>Montanha</t>
        </is>
      </c>
      <c r="C38" s="17" t="inlineStr">
        <is>
          <t>Montanhas, colinas, desfiladeiros, cavernas</t>
        </is>
      </c>
    </row>
    <row r="39">
      <c r="B39" s="7" t="inlineStr">
        <is>
          <t>Ruínas</t>
        </is>
      </c>
      <c r="C39" s="17" t="inlineStr">
        <is>
          <t>Ruínas, cemitérios, campos de batalha, aldeias abandonadas</t>
        </is>
      </c>
    </row>
    <row r="41">
      <c r="B41" s="3" t="inlineStr">
        <is>
          <t>Chance de evento por período (na estrada, clima sem modificador)</t>
        </is>
      </c>
    </row>
    <row r="42">
      <c r="B42" s="11" t="inlineStr">
        <is>
          <t>Área</t>
        </is>
      </c>
      <c r="C42" s="11" t="inlineStr">
        <is>
          <t>Manhã</t>
        </is>
      </c>
      <c r="D42" s="11" t="inlineStr">
        <is>
          <t>Tarde</t>
        </is>
      </c>
      <c r="E42" s="11" t="inlineStr">
        <is>
          <t>Noite</t>
        </is>
      </c>
      <c r="F42" s="11" t="inlineStr">
        <is>
          <t>Madrugada</t>
        </is>
      </c>
      <c r="G42" s="11" t="inlineStr">
        <is>
          <t>Eventos esperados/dia</t>
        </is>
      </c>
    </row>
    <row r="43">
      <c r="B43" s="7" t="inlineStr">
        <is>
          <t>Tranquila</t>
        </is>
      </c>
      <c r="C43" s="23">
        <f>MAX(0,MIN(20,21-($D$6-$D$13)))/20</f>
        <v/>
      </c>
      <c r="D43" s="23">
        <f>MAX(0,MIN(20,21-($D$6-$D$14)))/20</f>
        <v/>
      </c>
      <c r="E43" s="23">
        <f>MAX(0,MIN(20,21-($D$6-$D$15)))/20</f>
        <v/>
      </c>
      <c r="F43" s="23">
        <f>MAX(0,MIN(20,21-($D$6-$D$16)))/20</f>
        <v/>
      </c>
      <c r="G43" s="24">
        <f>SUM(C43:F43)</f>
        <v/>
      </c>
    </row>
    <row r="44">
      <c r="B44" s="7" t="inlineStr">
        <is>
          <t>Média</t>
        </is>
      </c>
      <c r="C44" s="23">
        <f>MAX(0,MIN(20,21-($D$7-$D$13)))/20</f>
        <v/>
      </c>
      <c r="D44" s="23">
        <f>MAX(0,MIN(20,21-($D$7-$D$14)))/20</f>
        <v/>
      </c>
      <c r="E44" s="23">
        <f>MAX(0,MIN(20,21-($D$7-$D$15)))/20</f>
        <v/>
      </c>
      <c r="F44" s="23">
        <f>MAX(0,MIN(20,21-($D$7-$D$16)))/20</f>
        <v/>
      </c>
      <c r="G44" s="24">
        <f>SUM(C44:F44)</f>
        <v/>
      </c>
    </row>
    <row r="45">
      <c r="B45" s="7" t="inlineStr">
        <is>
          <t>Perigosa</t>
        </is>
      </c>
      <c r="C45" s="23">
        <f>MAX(0,MIN(20,21-($D$8-$D$13)))/20</f>
        <v/>
      </c>
      <c r="D45" s="23">
        <f>MAX(0,MIN(20,21-($D$8-$D$14)))/20</f>
        <v/>
      </c>
      <c r="E45" s="23">
        <f>MAX(0,MIN(20,21-($D$8-$D$15)))/20</f>
        <v/>
      </c>
      <c r="F45" s="23">
        <f>MAX(0,MIN(20,21-($D$8-$D$16)))/20</f>
        <v/>
      </c>
      <c r="G45" s="24">
        <f>SUM(C45:F45)</f>
        <v/>
      </c>
    </row>
    <row r="46">
      <c r="B46" s="7" t="inlineStr">
        <is>
          <t>Mortal</t>
        </is>
      </c>
      <c r="C46" s="23">
        <f>MAX(0,MIN(20,21-($D$9-$D$13)))/20</f>
        <v/>
      </c>
      <c r="D46" s="23">
        <f>MAX(0,MIN(20,21-($D$9-$D$14)))/20</f>
        <v/>
      </c>
      <c r="E46" s="23">
        <f>MAX(0,MIN(20,21-($D$9-$D$15)))/20</f>
        <v/>
      </c>
      <c r="F46" s="23">
        <f>MAX(0,MIN(20,21-($D$9-$D$16)))/20</f>
        <v/>
      </c>
      <c r="G46" s="24">
        <f>SUM(C46:F46)</f>
        <v/>
      </c>
    </row>
    <row r="47">
      <c r="B47" s="21" t="inlineStr">
        <is>
          <t>Perto de 2 eventos por dia já é uma viagem movimentada. Ajuste os limiares acima se achar demais.</t>
        </is>
      </c>
    </row>
  </sheetData>
  <mergeCells count="1">
    <mergeCell ref="D31:G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FA89A"/>
    <outlinePr summaryBelow="1" summaryRight="1"/>
    <pageSetUpPr/>
  </sheetPr>
  <dimension ref="B1:T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9" customWidth="1" min="12" max="12"/>
    <col width="40" customWidth="1" min="13" max="13"/>
    <col width="50" customWidth="1" min="14" max="14"/>
    <col width="2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28" customHeight="1">
      <c r="B1" s="1" t="inlineStr">
        <is>
          <t>Clima (d100 por estação)</t>
        </is>
      </c>
    </row>
    <row r="2">
      <c r="B2" s="2" t="inlineStr">
        <is>
          <t>Role no início do dia. A cada troca de período role 1d6: no 6 o clima muda (role de novo). Pesos editáveis; as faixas recalculam.</t>
        </is>
      </c>
    </row>
    <row r="4">
      <c r="C4" s="25" t="inlineStr">
        <is>
          <t>Peso por estação (soma 100)</t>
        </is>
      </c>
      <c r="D4" s="4" t="n"/>
      <c r="E4" s="4" t="n"/>
      <c r="F4" s="5" t="n"/>
      <c r="G4" s="25" t="inlineStr">
        <is>
          <t>Faixa no d100</t>
        </is>
      </c>
      <c r="H4" s="4" t="n"/>
      <c r="I4" s="4" t="n"/>
      <c r="J4" s="5" t="n"/>
    </row>
    <row r="5">
      <c r="B5" s="11" t="inlineStr">
        <is>
          <t>Clima</t>
        </is>
      </c>
      <c r="C5" s="11" t="inlineStr">
        <is>
          <t>Primavera</t>
        </is>
      </c>
      <c r="D5" s="11" t="inlineStr">
        <is>
          <t>Verão</t>
        </is>
      </c>
      <c r="E5" s="11" t="inlineStr">
        <is>
          <t>Outono</t>
        </is>
      </c>
      <c r="F5" s="11" t="inlineStr">
        <is>
          <t>Inverno</t>
        </is>
      </c>
      <c r="G5" s="11" t="inlineStr">
        <is>
          <t>Primavera</t>
        </is>
      </c>
      <c r="H5" s="11" t="inlineStr">
        <is>
          <t>Verão</t>
        </is>
      </c>
      <c r="I5" s="11" t="inlineStr">
        <is>
          <t>Outono</t>
        </is>
      </c>
      <c r="J5" s="11" t="inlineStr">
        <is>
          <t>Inverno</t>
        </is>
      </c>
      <c r="K5" s="11" t="inlineStr">
        <is>
          <t>Mod. d20</t>
        </is>
      </c>
      <c r="L5" s="11" t="inlineStr">
        <is>
          <t>Mod. d100</t>
        </is>
      </c>
      <c r="M5" s="11" t="inlineStr">
        <is>
          <t>Efeito na viagem</t>
        </is>
      </c>
      <c r="N5" s="11" t="inlineStr">
        <is>
          <t>Efeito em jogo (M&amp;M)</t>
        </is>
      </c>
      <c r="P5" s="11" t="inlineStr">
        <is>
          <t>Ac.Pri</t>
        </is>
      </c>
      <c r="Q5" s="11" t="inlineStr">
        <is>
          <t>Ac.Ver</t>
        </is>
      </c>
      <c r="R5" s="11" t="inlineStr">
        <is>
          <t>Ac.Out</t>
        </is>
      </c>
      <c r="S5" s="11" t="inlineStr">
        <is>
          <t>Ac.Inv</t>
        </is>
      </c>
      <c r="T5" s="11" t="inlineStr">
        <is>
          <t>Ac. atual</t>
        </is>
      </c>
    </row>
    <row r="6">
      <c r="B6" s="7" t="inlineStr">
        <is>
          <t>Céu limpo</t>
        </is>
      </c>
      <c r="C6" s="13" t="n">
        <v>25</v>
      </c>
      <c r="D6" s="13" t="n">
        <v>35</v>
      </c>
      <c r="E6" s="13" t="n">
        <v>15</v>
      </c>
      <c r="F6" s="13" t="n">
        <v>15</v>
      </c>
      <c r="G6" s="12">
        <f>IF(C6=0,"—",(0+1)&amp;"–"&amp;P6)</f>
        <v/>
      </c>
      <c r="H6" s="12">
        <f>IF(D6=0,"—",(0+1)&amp;"–"&amp;Q6)</f>
        <v/>
      </c>
      <c r="I6" s="12">
        <f>IF(E6=0,"—",(0+1)&amp;"–"&amp;R6)</f>
        <v/>
      </c>
      <c r="J6" s="12">
        <f>IF(F6=0,"—",(0+1)&amp;"–"&amp;S6)</f>
        <v/>
      </c>
      <c r="K6" s="20" t="n">
        <v>0</v>
      </c>
      <c r="L6" s="20" t="n">
        <v>0</v>
      </c>
      <c r="M6" s="17" t="inlineStr">
        <is>
          <t>Viagem normal, boa visibilidade.</t>
        </is>
      </c>
      <c r="N6" s="17" t="inlineStr">
        <is>
          <t>Sem modificadores.</t>
        </is>
      </c>
      <c r="P6" s="26">
        <f>SUM(C$6:C6)</f>
        <v/>
      </c>
      <c r="Q6" s="26">
        <f>SUM(D$6:D6)</f>
        <v/>
      </c>
      <c r="R6" s="26">
        <f>SUM(E$6:E6)</f>
        <v/>
      </c>
      <c r="S6" s="26">
        <f>SUM(F$6:F6)</f>
        <v/>
      </c>
      <c r="T6" s="26">
        <f>INDEX(P6:S6,MATCH(Painel!$C$8,$C$5:$F$5,0))</f>
        <v/>
      </c>
    </row>
    <row r="7">
      <c r="B7" s="7" t="inlineStr">
        <is>
          <t>Calor intenso</t>
        </is>
      </c>
      <c r="C7" s="13" t="n">
        <v>0</v>
      </c>
      <c r="D7" s="13" t="n">
        <v>18</v>
      </c>
      <c r="E7" s="13" t="n">
        <v>0</v>
      </c>
      <c r="F7" s="13" t="n">
        <v>0</v>
      </c>
      <c r="G7" s="12">
        <f>IF(C7=0,"—",(P6+1)&amp;"–"&amp;P7)</f>
        <v/>
      </c>
      <c r="H7" s="12">
        <f>IF(D7=0,"—",(Q6+1)&amp;"–"&amp;Q7)</f>
        <v/>
      </c>
      <c r="I7" s="12">
        <f>IF(E7=0,"—",(R6+1)&amp;"–"&amp;R7)</f>
        <v/>
      </c>
      <c r="J7" s="12">
        <f>IF(F7=0,"—",(S6+1)&amp;"–"&amp;S7)</f>
        <v/>
      </c>
      <c r="K7" s="20" t="n">
        <v>-1</v>
      </c>
      <c r="L7" s="20" t="n">
        <v>0</v>
      </c>
      <c r="M7" s="17" t="inlineStr">
        <is>
          <t>Cavalos cansam rápido; água vira prioridade. Bichos se entocam de dia.</t>
        </is>
      </c>
      <c r="N7" s="17" t="inlineStr">
        <is>
          <t>Marcha à tarde: Fortitude CD 10 ou Fatigado (CD 15 de armadura pesada).</t>
        </is>
      </c>
      <c r="P7" s="26">
        <f>SUM(C$6:C7)</f>
        <v/>
      </c>
      <c r="Q7" s="26">
        <f>SUM(D$6:D7)</f>
        <v/>
      </c>
      <c r="R7" s="26">
        <f>SUM(E$6:E7)</f>
        <v/>
      </c>
      <c r="S7" s="26">
        <f>SUM(F$6:F7)</f>
        <v/>
      </c>
      <c r="T7" s="26">
        <f>INDEX(P7:S7,MATCH(Painel!$C$8,$C$5:$F$5,0))</f>
        <v/>
      </c>
    </row>
    <row r="8">
      <c r="B8" s="7" t="inlineStr">
        <is>
          <t>Nublado</t>
        </is>
      </c>
      <c r="C8" s="13" t="n">
        <v>20</v>
      </c>
      <c r="D8" s="13" t="n">
        <v>12</v>
      </c>
      <c r="E8" s="13" t="n">
        <v>25</v>
      </c>
      <c r="F8" s="13" t="n">
        <v>20</v>
      </c>
      <c r="G8" s="12">
        <f>IF(C8=0,"—",(P7+1)&amp;"–"&amp;P8)</f>
        <v/>
      </c>
      <c r="H8" s="12">
        <f>IF(D8=0,"—",(Q7+1)&amp;"–"&amp;Q8)</f>
        <v/>
      </c>
      <c r="I8" s="12">
        <f>IF(E8=0,"—",(R7+1)&amp;"–"&amp;R8)</f>
        <v/>
      </c>
      <c r="J8" s="12">
        <f>IF(F8=0,"—",(S7+1)&amp;"–"&amp;S8)</f>
        <v/>
      </c>
      <c r="K8" s="20" t="n">
        <v>0</v>
      </c>
      <c r="L8" s="20" t="n">
        <v>0</v>
      </c>
      <c r="M8" s="17" t="inlineStr">
        <is>
          <t>Luz difusa, dia parece mais curto.</t>
        </is>
      </c>
      <c r="N8" s="17" t="inlineStr">
        <is>
          <t>Sem modificadores.</t>
        </is>
      </c>
      <c r="P8" s="26">
        <f>SUM(C$6:C8)</f>
        <v/>
      </c>
      <c r="Q8" s="26">
        <f>SUM(D$6:D8)</f>
        <v/>
      </c>
      <c r="R8" s="26">
        <f>SUM(E$6:E8)</f>
        <v/>
      </c>
      <c r="S8" s="26">
        <f>SUM(F$6:F8)</f>
        <v/>
      </c>
      <c r="T8" s="26">
        <f>INDEX(P8:S8,MATCH(Painel!$C$8,$C$5:$F$5,0))</f>
        <v/>
      </c>
    </row>
    <row r="9">
      <c r="B9" s="7" t="inlineStr">
        <is>
          <t>Garoa</t>
        </is>
      </c>
      <c r="C9" s="13" t="n">
        <v>15</v>
      </c>
      <c r="D9" s="13" t="n">
        <v>6</v>
      </c>
      <c r="E9" s="13" t="n">
        <v>15</v>
      </c>
      <c r="F9" s="13" t="n">
        <v>0</v>
      </c>
      <c r="G9" s="12">
        <f>IF(C9=0,"—",(P8+1)&amp;"–"&amp;P9)</f>
        <v/>
      </c>
      <c r="H9" s="12">
        <f>IF(D9=0,"—",(Q8+1)&amp;"–"&amp;Q9)</f>
        <v/>
      </c>
      <c r="I9" s="12">
        <f>IF(E9=0,"—",(R8+1)&amp;"–"&amp;R9)</f>
        <v/>
      </c>
      <c r="J9" s="12">
        <f>IF(F9=0,"—",(S8+1)&amp;"–"&amp;S9)</f>
        <v/>
      </c>
      <c r="K9" s="20" t="n">
        <v>0</v>
      </c>
      <c r="L9" s="20" t="n">
        <v>0</v>
      </c>
      <c r="M9" s="17" t="inlineStr">
        <is>
          <t>Estrada escorregadia, roupa úmida.</t>
        </is>
      </c>
      <c r="N9" s="17" t="inlineStr">
        <is>
          <t>−1 em Percepção (audição); +2 para seguir rastros frescos.</t>
        </is>
      </c>
      <c r="P9" s="26">
        <f>SUM(C$6:C9)</f>
        <v/>
      </c>
      <c r="Q9" s="26">
        <f>SUM(D$6:D9)</f>
        <v/>
      </c>
      <c r="R9" s="26">
        <f>SUM(E$6:E9)</f>
        <v/>
      </c>
      <c r="S9" s="26">
        <f>SUM(F$6:F9)</f>
        <v/>
      </c>
      <c r="T9" s="26">
        <f>INDEX(P9:S9,MATCH(Painel!$C$8,$C$5:$F$5,0))</f>
        <v/>
      </c>
    </row>
    <row r="10">
      <c r="B10" s="7" t="inlineStr">
        <is>
          <t>Chuva forte</t>
        </is>
      </c>
      <c r="C10" s="13" t="n">
        <v>12</v>
      </c>
      <c r="D10" s="13" t="n">
        <v>8</v>
      </c>
      <c r="E10" s="13" t="n">
        <v>12</v>
      </c>
      <c r="F10" s="13" t="n">
        <v>3</v>
      </c>
      <c r="G10" s="12">
        <f>IF(C10=0,"—",(P9+1)&amp;"–"&amp;P10)</f>
        <v/>
      </c>
      <c r="H10" s="12">
        <f>IF(D10=0,"—",(Q9+1)&amp;"–"&amp;Q10)</f>
        <v/>
      </c>
      <c r="I10" s="12">
        <f>IF(E10=0,"—",(R9+1)&amp;"–"&amp;R10)</f>
        <v/>
      </c>
      <c r="J10" s="12">
        <f>IF(F10=0,"—",(S9+1)&amp;"–"&amp;S10)</f>
        <v/>
      </c>
      <c r="K10" s="20" t="n">
        <v>-1</v>
      </c>
      <c r="L10" s="20" t="n">
        <v>0</v>
      </c>
      <c r="M10" s="17" t="inlineStr">
        <is>
          <t>Estrada vira lama (viagem 25% mais lenta); rios sobem.</t>
        </is>
      </c>
      <c r="N10" s="17" t="inlineStr">
        <is>
          <t>−2 em Percepção; ataques à distância −2; rastros antigos somem; acender fogo: Sobrevivência CD 12.</t>
        </is>
      </c>
      <c r="P10" s="26">
        <f>SUM(C$6:C10)</f>
        <v/>
      </c>
      <c r="Q10" s="26">
        <f>SUM(D$6:D10)</f>
        <v/>
      </c>
      <c r="R10" s="26">
        <f>SUM(E$6:E10)</f>
        <v/>
      </c>
      <c r="S10" s="26">
        <f>SUM(F$6:F10)</f>
        <v/>
      </c>
      <c r="T10" s="26">
        <f>INDEX(P10:S10,MATCH(Painel!$C$8,$C$5:$F$5,0))</f>
        <v/>
      </c>
    </row>
    <row r="11">
      <c r="B11" s="7" t="inlineStr">
        <is>
          <t>Tempestade</t>
        </is>
      </c>
      <c r="C11" s="13" t="n">
        <v>6</v>
      </c>
      <c r="D11" s="13" t="n">
        <v>10</v>
      </c>
      <c r="E11" s="13" t="n">
        <v>5</v>
      </c>
      <c r="F11" s="13" t="n">
        <v>2</v>
      </c>
      <c r="G11" s="12">
        <f>IF(C11=0,"—",(P10+1)&amp;"–"&amp;P11)</f>
        <v/>
      </c>
      <c r="H11" s="12">
        <f>IF(D11=0,"—",(Q10+1)&amp;"–"&amp;Q11)</f>
        <v/>
      </c>
      <c r="I11" s="12">
        <f>IF(E11=0,"—",(R10+1)&amp;"–"&amp;R11)</f>
        <v/>
      </c>
      <c r="J11" s="12">
        <f>IF(F11=0,"—",(S10+1)&amp;"–"&amp;S11)</f>
        <v/>
      </c>
      <c r="K11" s="20" t="n">
        <v>-2</v>
      </c>
      <c r="L11" s="20" t="n">
        <v>0</v>
      </c>
      <c r="M11" s="17" t="inlineStr">
        <is>
          <t>Raios e vendaval. Procure abrigo; viagem pela metade.</t>
        </is>
      </c>
      <c r="N11" s="17" t="inlineStr">
        <is>
          <t>−5 em Percepção; ataques à distância −5; Fortitude CD 10 por período exposto ou Fatigado.</t>
        </is>
      </c>
      <c r="P11" s="26">
        <f>SUM(C$6:C11)</f>
        <v/>
      </c>
      <c r="Q11" s="26">
        <f>SUM(D$6:D11)</f>
        <v/>
      </c>
      <c r="R11" s="26">
        <f>SUM(E$6:E11)</f>
        <v/>
      </c>
      <c r="S11" s="26">
        <f>SUM(F$6:F11)</f>
        <v/>
      </c>
      <c r="T11" s="26">
        <f>INDEX(P11:S11,MATCH(Painel!$C$8,$C$5:$F$5,0))</f>
        <v/>
      </c>
    </row>
    <row r="12">
      <c r="B12" s="7" t="inlineStr">
        <is>
          <t>Neblina</t>
        </is>
      </c>
      <c r="C12" s="13" t="n">
        <v>12</v>
      </c>
      <c r="D12" s="13" t="n">
        <v>4</v>
      </c>
      <c r="E12" s="13" t="n">
        <v>15</v>
      </c>
      <c r="F12" s="13" t="n">
        <v>10</v>
      </c>
      <c r="G12" s="12">
        <f>IF(C12=0,"—",(P11+1)&amp;"–"&amp;P12)</f>
        <v/>
      </c>
      <c r="H12" s="12">
        <f>IF(D12=0,"—",(Q11+1)&amp;"–"&amp;Q12)</f>
        <v/>
      </c>
      <c r="I12" s="12">
        <f>IF(E12=0,"—",(R11+1)&amp;"–"&amp;R12)</f>
        <v/>
      </c>
      <c r="J12" s="12">
        <f>IF(F12=0,"—",(S11+1)&amp;"–"&amp;S12)</f>
        <v/>
      </c>
      <c r="K12" s="20" t="n">
        <v>2</v>
      </c>
      <c r="L12" s="20" t="n">
        <v>10</v>
      </c>
      <c r="M12" s="17" t="inlineStr">
        <is>
          <t>Visibilidade de poucos metros; sons enganam; fácil se perder.</t>
        </is>
      </c>
      <c r="N12" s="17" t="inlineStr">
        <is>
          <t>Camuflagem além de 10 m (−5 em Percepção visual); Sobrevivência CD 12 para não se perder.</t>
        </is>
      </c>
      <c r="P12" s="26">
        <f>SUM(C$6:C12)</f>
        <v/>
      </c>
      <c r="Q12" s="26">
        <f>SUM(D$6:D12)</f>
        <v/>
      </c>
      <c r="R12" s="26">
        <f>SUM(E$6:E12)</f>
        <v/>
      </c>
      <c r="S12" s="26">
        <f>SUM(F$6:F12)</f>
        <v/>
      </c>
      <c r="T12" s="26">
        <f>INDEX(P12:S12,MATCH(Painel!$C$8,$C$5:$F$5,0))</f>
        <v/>
      </c>
    </row>
    <row r="13">
      <c r="B13" s="7" t="inlineStr">
        <is>
          <t>Ventania</t>
        </is>
      </c>
      <c r="C13" s="13" t="n">
        <v>7</v>
      </c>
      <c r="D13" s="13" t="n">
        <v>7</v>
      </c>
      <c r="E13" s="13" t="n">
        <v>10</v>
      </c>
      <c r="F13" s="13" t="n">
        <v>10</v>
      </c>
      <c r="G13" s="12">
        <f>IF(C13=0,"—",(P12+1)&amp;"–"&amp;P13)</f>
        <v/>
      </c>
      <c r="H13" s="12">
        <f>IF(D13=0,"—",(Q12+1)&amp;"–"&amp;Q13)</f>
        <v/>
      </c>
      <c r="I13" s="12">
        <f>IF(E13=0,"—",(R12+1)&amp;"–"&amp;R13)</f>
        <v/>
      </c>
      <c r="J13" s="12">
        <f>IF(F13=0,"—",(S12+1)&amp;"–"&amp;S13)</f>
        <v/>
      </c>
      <c r="K13" s="20" t="n">
        <v>0</v>
      </c>
      <c r="L13" s="20" t="n">
        <v>0</v>
      </c>
      <c r="M13" s="17" t="inlineStr">
        <is>
          <t>Poeira e folhas; fogueira difícil.</t>
        </is>
      </c>
      <c r="N13" s="17" t="inlineStr">
        <is>
          <t>Ataques à distância −2; Percepção auditiva −2.</t>
        </is>
      </c>
      <c r="P13" s="26">
        <f>SUM(C$6:C13)</f>
        <v/>
      </c>
      <c r="Q13" s="26">
        <f>SUM(D$6:D13)</f>
        <v/>
      </c>
      <c r="R13" s="26">
        <f>SUM(E$6:E13)</f>
        <v/>
      </c>
      <c r="S13" s="26">
        <f>SUM(F$6:F13)</f>
        <v/>
      </c>
      <c r="T13" s="26">
        <f>INDEX(P13:S13,MATCH(Painel!$C$8,$C$5:$F$5,0))</f>
        <v/>
      </c>
    </row>
    <row r="14">
      <c r="B14" s="7" t="inlineStr">
        <is>
          <t>Frio intenso</t>
        </is>
      </c>
      <c r="C14" s="13" t="n">
        <v>3</v>
      </c>
      <c r="D14" s="13" t="n">
        <v>0</v>
      </c>
      <c r="E14" s="13" t="n">
        <v>3</v>
      </c>
      <c r="F14" s="13" t="n">
        <v>20</v>
      </c>
      <c r="G14" s="12">
        <f>IF(C14=0,"—",(P13+1)&amp;"–"&amp;P14)</f>
        <v/>
      </c>
      <c r="H14" s="12">
        <f>IF(D14=0,"—",(Q13+1)&amp;"–"&amp;Q14)</f>
        <v/>
      </c>
      <c r="I14" s="12">
        <f>IF(E14=0,"—",(R13+1)&amp;"–"&amp;R14)</f>
        <v/>
      </c>
      <c r="J14" s="12">
        <f>IF(F14=0,"—",(S13+1)&amp;"–"&amp;S14)</f>
        <v/>
      </c>
      <c r="K14" s="20" t="n">
        <v>-1</v>
      </c>
      <c r="L14" s="20" t="n">
        <v>0</v>
      </c>
      <c r="M14" s="17" t="inlineStr">
        <is>
          <t>Geada; fogo e agasalho à noite são obrigatórios.</t>
        </is>
      </c>
      <c r="N14" s="17" t="inlineStr">
        <is>
          <t>Sem agasalho: Fortitude CD 10 por período noturno ou Fatigado.</t>
        </is>
      </c>
      <c r="P14" s="26">
        <f>SUM(C$6:C14)</f>
        <v/>
      </c>
      <c r="Q14" s="26">
        <f>SUM(D$6:D14)</f>
        <v/>
      </c>
      <c r="R14" s="26">
        <f>SUM(E$6:E14)</f>
        <v/>
      </c>
      <c r="S14" s="26">
        <f>SUM(F$6:F14)</f>
        <v/>
      </c>
      <c r="T14" s="26">
        <f>INDEX(P14:S14,MATCH(Painel!$C$8,$C$5:$F$5,0))</f>
        <v/>
      </c>
    </row>
    <row r="15">
      <c r="B15" s="7" t="inlineStr">
        <is>
          <t>Neve</t>
        </is>
      </c>
      <c r="C15" s="13" t="n">
        <v>0</v>
      </c>
      <c r="D15" s="13" t="n">
        <v>0</v>
      </c>
      <c r="E15" s="13" t="n">
        <v>0</v>
      </c>
      <c r="F15" s="13" t="n">
        <v>15</v>
      </c>
      <c r="G15" s="12">
        <f>IF(C15=0,"—",(P14+1)&amp;"–"&amp;P15)</f>
        <v/>
      </c>
      <c r="H15" s="12">
        <f>IF(D15=0,"—",(Q14+1)&amp;"–"&amp;Q15)</f>
        <v/>
      </c>
      <c r="I15" s="12">
        <f>IF(E15=0,"—",(R14+1)&amp;"–"&amp;R15)</f>
        <v/>
      </c>
      <c r="J15" s="12">
        <f>IF(F15=0,"—",(S14+1)&amp;"–"&amp;S15)</f>
        <v/>
      </c>
      <c r="K15" s="20" t="n">
        <v>-1</v>
      </c>
      <c r="L15" s="20" t="n">
        <v>0</v>
      </c>
      <c r="M15" s="17" t="inlineStr">
        <is>
          <t>Neve acumulada: viagem 50% mais lenta, rastros muito visíveis.</t>
        </is>
      </c>
      <c r="N15" s="17" t="inlineStr">
        <is>
          <t>+5 para seguir rastros; fora da estrada é terreno difícil.</t>
        </is>
      </c>
      <c r="P15" s="26">
        <f>SUM(C$6:C15)</f>
        <v/>
      </c>
      <c r="Q15" s="26">
        <f>SUM(D$6:D15)</f>
        <v/>
      </c>
      <c r="R15" s="26">
        <f>SUM(E$6:E15)</f>
        <v/>
      </c>
      <c r="S15" s="26">
        <f>SUM(F$6:F15)</f>
        <v/>
      </c>
      <c r="T15" s="26">
        <f>INDEX(P15:S15,MATCH(Painel!$C$8,$C$5:$F$5,0))</f>
        <v/>
      </c>
    </row>
    <row r="16">
      <c r="B16" s="7" t="inlineStr">
        <is>
          <t>Nevasca</t>
        </is>
      </c>
      <c r="C16" s="13" t="n">
        <v>0</v>
      </c>
      <c r="D16" s="13" t="n">
        <v>0</v>
      </c>
      <c r="E16" s="13" t="n">
        <v>0</v>
      </c>
      <c r="F16" s="13" t="n">
        <v>5</v>
      </c>
      <c r="G16" s="12">
        <f>IF(C16=0,"—",(P15+1)&amp;"–"&amp;P16)</f>
        <v/>
      </c>
      <c r="H16" s="12">
        <f>IF(D16=0,"—",(Q15+1)&amp;"–"&amp;Q16)</f>
        <v/>
      </c>
      <c r="I16" s="12">
        <f>IF(E16=0,"—",(R15+1)&amp;"–"&amp;R16)</f>
        <v/>
      </c>
      <c r="J16" s="12">
        <f>IF(F16=0,"—",(S15+1)&amp;"–"&amp;S16)</f>
        <v/>
      </c>
      <c r="K16" s="20" t="n">
        <v>-3</v>
      </c>
      <c r="L16" s="20" t="n">
        <v>0</v>
      </c>
      <c r="M16" s="17" t="inlineStr">
        <is>
          <t>Branco total; viajar é arriscado. Procure abrigo.</t>
        </is>
      </c>
      <c r="N16" s="17" t="inlineStr">
        <is>
          <t>−5 em Percepção; viagem a 1/4; Fortitude CD 15 por período exposto ou Fatigado.</t>
        </is>
      </c>
      <c r="P16" s="26">
        <f>SUM(C$6:C16)</f>
        <v/>
      </c>
      <c r="Q16" s="26">
        <f>SUM(D$6:D16)</f>
        <v/>
      </c>
      <c r="R16" s="26">
        <f>SUM(E$6:E16)</f>
        <v/>
      </c>
      <c r="S16" s="26">
        <f>SUM(F$6:F16)</f>
        <v/>
      </c>
      <c r="T16" s="26">
        <f>INDEX(P16:S16,MATCH(Painel!$C$8,$C$5:$F$5,0))</f>
        <v/>
      </c>
    </row>
    <row r="17">
      <c r="B17" s="7" t="inlineStr">
        <is>
          <t>Total / conferência</t>
        </is>
      </c>
      <c r="C17" s="14">
        <f>SUM(C6:C16)</f>
        <v/>
      </c>
      <c r="D17" s="14">
        <f>SUM(D6:D16)</f>
        <v/>
      </c>
      <c r="E17" s="14">
        <f>SUM(E6:E16)</f>
        <v/>
      </c>
      <c r="F17" s="14">
        <f>SUM(F6:F16)</f>
        <v/>
      </c>
      <c r="G17" s="12">
        <f>IF(C17=100,"OK","Soma ≠ 100")</f>
        <v/>
      </c>
      <c r="H17" s="12">
        <f>IF(D17=100,"OK","Soma ≠ 100")</f>
        <v/>
      </c>
      <c r="I17" s="12">
        <f>IF(E17=100,"OK","Soma ≠ 100")</f>
        <v/>
      </c>
      <c r="J17" s="12">
        <f>IF(F17=100,"OK","Soma ≠ 100")</f>
        <v/>
      </c>
    </row>
    <row r="19">
      <c r="B19" s="21" t="inlineStr">
        <is>
          <t>Mod. d20 e d100 entram no Painel: neblina deixa eventos mais prováveis e mais estranhos; tempestade e frio deixam a estrada vazia.</t>
        </is>
      </c>
    </row>
  </sheetData>
  <mergeCells count="2">
    <mergeCell ref="C4:F4"/>
    <mergeCell ref="G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A89A"/>
    <outlinePr summaryBelow="1" summaryRight="1"/>
    <pageSetUpPr/>
  </sheetPr>
  <dimension ref="B1:T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54" customWidth="1" min="12" max="12"/>
    <col width="2" customWidth="1" min="13" max="13"/>
    <col width="2" customWidth="1" min="14" max="14"/>
    <col width="2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28" customHeight="1">
      <c r="B1" s="1" t="inlineStr">
        <is>
          <t>Tipo de evento (d100 + mod. de período e clima)</t>
        </is>
      </c>
    </row>
    <row r="2">
      <c r="B2" s="2" t="inlineStr">
        <is>
          <t>Os tipos vão do mais cotidiano (topo) ao mais perigoso (base). Quanto mais perigosa a área, mais faixas ficam embaixo.</t>
        </is>
      </c>
    </row>
    <row r="4">
      <c r="C4" s="25" t="inlineStr">
        <is>
          <t>Peso por área (soma 100)</t>
        </is>
      </c>
      <c r="D4" s="4" t="n"/>
      <c r="E4" s="4" t="n"/>
      <c r="F4" s="5" t="n"/>
      <c r="G4" s="25" t="inlineStr">
        <is>
          <t>Faixa no d100</t>
        </is>
      </c>
      <c r="H4" s="4" t="n"/>
      <c r="I4" s="4" t="n"/>
      <c r="J4" s="5" t="n"/>
    </row>
    <row r="5">
      <c r="B5" s="11" t="inlineStr">
        <is>
          <t>Tipo</t>
        </is>
      </c>
      <c r="C5" s="11" t="inlineStr">
        <is>
          <t>Tranquila</t>
        </is>
      </c>
      <c r="D5" s="11" t="inlineStr">
        <is>
          <t>Média</t>
        </is>
      </c>
      <c r="E5" s="11" t="inlineStr">
        <is>
          <t>Perigosa</t>
        </is>
      </c>
      <c r="F5" s="11" t="inlineStr">
        <is>
          <t>Mortal</t>
        </is>
      </c>
      <c r="G5" s="11" t="inlineStr">
        <is>
          <t>Tranquila</t>
        </is>
      </c>
      <c r="H5" s="11" t="inlineStr">
        <is>
          <t>Média</t>
        </is>
      </c>
      <c r="I5" s="11" t="inlineStr">
        <is>
          <t>Perigosa</t>
        </is>
      </c>
      <c r="J5" s="11" t="inlineStr">
        <is>
          <t>Mortal</t>
        </is>
      </c>
      <c r="K5" s="11" t="inlineStr">
        <is>
          <t>Criatura?</t>
        </is>
      </c>
      <c r="L5" s="11" t="inlineStr">
        <is>
          <t>O que é</t>
        </is>
      </c>
      <c r="P5" s="11" t="inlineStr">
        <is>
          <t>Ac.Tra</t>
        </is>
      </c>
      <c r="Q5" s="11" t="inlineStr">
        <is>
          <t>Ac.Méd</t>
        </is>
      </c>
      <c r="R5" s="11" t="inlineStr">
        <is>
          <t>Ac.Per</t>
        </is>
      </c>
      <c r="S5" s="11" t="inlineStr">
        <is>
          <t>Ac.Mor</t>
        </is>
      </c>
      <c r="T5" s="11" t="inlineStr">
        <is>
          <t>Ac. atual</t>
        </is>
      </c>
    </row>
    <row r="6">
      <c r="B6" s="7" t="inlineStr">
        <is>
          <t>Encontro social</t>
        </is>
      </c>
      <c r="C6" s="13" t="n">
        <v>35</v>
      </c>
      <c r="D6" s="13" t="n">
        <v>20</v>
      </c>
      <c r="E6" s="13" t="n">
        <v>10</v>
      </c>
      <c r="F6" s="13" t="n">
        <v>5</v>
      </c>
      <c r="G6" s="12">
        <f>IF(C6=0,"—",(0+1)&amp;"–"&amp;P6)</f>
        <v/>
      </c>
      <c r="H6" s="12">
        <f>IF(D6=0,"—",(0+1)&amp;"–"&amp;Q6)</f>
        <v/>
      </c>
      <c r="I6" s="12">
        <f>IF(E6=0,"—",(0+1)&amp;"–"&amp;R6)</f>
        <v/>
      </c>
      <c r="J6" s="12">
        <f>IF(F6=0,"—",(0+1)&amp;"–"&amp;S6)</f>
        <v/>
      </c>
      <c r="K6" s="12" t="inlineStr">
        <is>
          <t>—</t>
        </is>
      </c>
      <c r="L6" s="17" t="inlineStr">
        <is>
          <t>Gente na estrada: mercadores, viajantes, patrulhas, rumores e ganchos.</t>
        </is>
      </c>
      <c r="P6" s="26">
        <f>SUM(C$6:C6)</f>
        <v/>
      </c>
      <c r="Q6" s="26">
        <f>SUM(D$6:D6)</f>
        <v/>
      </c>
      <c r="R6" s="26">
        <f>SUM(E$6:E6)</f>
        <v/>
      </c>
      <c r="S6" s="26">
        <f>SUM(F$6:F6)</f>
        <v/>
      </c>
      <c r="T6" s="26">
        <f>INDEX(P6:S6,MATCH(Painel!$C$6,$C$5:$F$5,0))</f>
        <v/>
      </c>
    </row>
    <row r="7">
      <c r="B7" s="7" t="inlineStr">
        <is>
          <t>Obstáculo</t>
        </is>
      </c>
      <c r="C7" s="13" t="n">
        <v>25</v>
      </c>
      <c r="D7" s="13" t="n">
        <v>18</v>
      </c>
      <c r="E7" s="13" t="n">
        <v>12</v>
      </c>
      <c r="F7" s="13" t="n">
        <v>7</v>
      </c>
      <c r="G7" s="12">
        <f>IF(C7=0,"—",(P6+1)&amp;"–"&amp;P7)</f>
        <v/>
      </c>
      <c r="H7" s="12">
        <f>IF(D7=0,"—",(Q6+1)&amp;"–"&amp;Q7)</f>
        <v/>
      </c>
      <c r="I7" s="12">
        <f>IF(E7=0,"—",(R6+1)&amp;"–"&amp;R7)</f>
        <v/>
      </c>
      <c r="J7" s="12">
        <f>IF(F7=0,"—",(S6+1)&amp;"–"&amp;S7)</f>
        <v/>
      </c>
      <c r="K7" s="12" t="inlineStr">
        <is>
          <t>—</t>
        </is>
      </c>
      <c r="L7" s="17" t="inlineStr">
        <is>
          <t>O caminho ou o equipamento cria um problema: lama, ponte caída, roda quebrada.</t>
        </is>
      </c>
      <c r="P7" s="26">
        <f>SUM(C$6:C7)</f>
        <v/>
      </c>
      <c r="Q7" s="26">
        <f>SUM(D$6:D7)</f>
        <v/>
      </c>
      <c r="R7" s="26">
        <f>SUM(E$6:E7)</f>
        <v/>
      </c>
      <c r="S7" s="26">
        <f>SUM(F$6:F7)</f>
        <v/>
      </c>
      <c r="T7" s="26">
        <f>INDEX(P7:S7,MATCH(Painel!$C$6,$C$5:$F$5,0))</f>
        <v/>
      </c>
    </row>
    <row r="8">
      <c r="B8" s="7" t="inlineStr">
        <is>
          <t>Descoberta</t>
        </is>
      </c>
      <c r="C8" s="13" t="n">
        <v>18</v>
      </c>
      <c r="D8" s="13" t="n">
        <v>12</v>
      </c>
      <c r="E8" s="13" t="n">
        <v>8</v>
      </c>
      <c r="F8" s="13" t="n">
        <v>6</v>
      </c>
      <c r="G8" s="12">
        <f>IF(C8=0,"—",(P7+1)&amp;"–"&amp;P8)</f>
        <v/>
      </c>
      <c r="H8" s="12">
        <f>IF(D8=0,"—",(Q7+1)&amp;"–"&amp;Q8)</f>
        <v/>
      </c>
      <c r="I8" s="12">
        <f>IF(E8=0,"—",(R7+1)&amp;"–"&amp;R8)</f>
        <v/>
      </c>
      <c r="J8" s="12">
        <f>IF(F8=0,"—",(S7+1)&amp;"–"&amp;S8)</f>
        <v/>
      </c>
      <c r="K8" s="12" t="inlineStr">
        <is>
          <t>—</t>
        </is>
      </c>
      <c r="L8" s="17" t="inlineStr">
        <is>
          <t>Algo para encontrar: carroça abandonada, ervas, santuário, cadáver com pertences.</t>
        </is>
      </c>
      <c r="P8" s="26">
        <f>SUM(C$6:C8)</f>
        <v/>
      </c>
      <c r="Q8" s="26">
        <f>SUM(D$6:D8)</f>
        <v/>
      </c>
      <c r="R8" s="26">
        <f>SUM(E$6:E8)</f>
        <v/>
      </c>
      <c r="S8" s="26">
        <f>SUM(F$6:F8)</f>
        <v/>
      </c>
      <c r="T8" s="26">
        <f>INDEX(P8:S8,MATCH(Painel!$C$6,$C$5:$F$5,0))</f>
        <v/>
      </c>
    </row>
    <row r="9">
      <c r="B9" s="7" t="inlineStr">
        <is>
          <t>Pista / presságio</t>
        </is>
      </c>
      <c r="C9" s="13" t="n">
        <v>12</v>
      </c>
      <c r="D9" s="13" t="n">
        <v>15</v>
      </c>
      <c r="E9" s="13" t="n">
        <v>15</v>
      </c>
      <c r="F9" s="13" t="n">
        <v>14</v>
      </c>
      <c r="G9" s="12">
        <f>IF(C9=0,"—",(P8+1)&amp;"–"&amp;P9)</f>
        <v/>
      </c>
      <c r="H9" s="12">
        <f>IF(D9=0,"—",(Q8+1)&amp;"–"&amp;Q9)</f>
        <v/>
      </c>
      <c r="I9" s="12">
        <f>IF(E9=0,"—",(R8+1)&amp;"–"&amp;R9)</f>
        <v/>
      </c>
      <c r="J9" s="12">
        <f>IF(F9=0,"—",(S8+1)&amp;"–"&amp;S9)</f>
        <v/>
      </c>
      <c r="K9" s="12" t="inlineStr">
        <is>
          <t>Monstro</t>
        </is>
      </c>
      <c r="L9" s="17" t="inlineStr">
        <is>
          <t>Sinal de uma criatura sem ela aparecer. A criatura sorteada é quem deixou o sinal.</t>
        </is>
      </c>
      <c r="P9" s="26">
        <f>SUM(C$6:C9)</f>
        <v/>
      </c>
      <c r="Q9" s="26">
        <f>SUM(D$6:D9)</f>
        <v/>
      </c>
      <c r="R9" s="26">
        <f>SUM(E$6:E9)</f>
        <v/>
      </c>
      <c r="S9" s="26">
        <f>SUM(F$6:F9)</f>
        <v/>
      </c>
      <c r="T9" s="26">
        <f>INDEX(P9:S9,MATCH(Painel!$C$6,$C$5:$F$5,0))</f>
        <v/>
      </c>
    </row>
    <row r="10">
      <c r="B10" s="7" t="inlineStr">
        <is>
          <t>Humanos hostis</t>
        </is>
      </c>
      <c r="C10" s="13" t="n">
        <v>5</v>
      </c>
      <c r="D10" s="13" t="n">
        <v>13</v>
      </c>
      <c r="E10" s="13" t="n">
        <v>13</v>
      </c>
      <c r="F10" s="13" t="n">
        <v>10</v>
      </c>
      <c r="G10" s="12">
        <f>IF(C10=0,"—",(P9+1)&amp;"–"&amp;P10)</f>
        <v/>
      </c>
      <c r="H10" s="12">
        <f>IF(D10=0,"—",(Q9+1)&amp;"–"&amp;Q10)</f>
        <v/>
      </c>
      <c r="I10" s="12">
        <f>IF(E10=0,"—",(R9+1)&amp;"–"&amp;R10)</f>
        <v/>
      </c>
      <c r="J10" s="12">
        <f>IF(F10=0,"—",(S9+1)&amp;"–"&amp;S10)</f>
        <v/>
      </c>
      <c r="K10" s="12" t="inlineStr">
        <is>
          <t>Humano</t>
        </is>
      </c>
      <c r="L10" s="17" t="inlineStr">
        <is>
          <t>Bandidos, desertores, caçadores de bruxas, cultistas.</t>
        </is>
      </c>
      <c r="P10" s="26">
        <f>SUM(C$6:C10)</f>
        <v/>
      </c>
      <c r="Q10" s="26">
        <f>SUM(D$6:D10)</f>
        <v/>
      </c>
      <c r="R10" s="26">
        <f>SUM(E$6:E10)</f>
        <v/>
      </c>
      <c r="S10" s="26">
        <f>SUM(F$6:F10)</f>
        <v/>
      </c>
      <c r="T10" s="26">
        <f>INDEX(P10:S10,MATCH(Painel!$C$6,$C$5:$F$5,0))</f>
        <v/>
      </c>
    </row>
    <row r="11">
      <c r="B11" s="7" t="inlineStr">
        <is>
          <t>Fera</t>
        </is>
      </c>
      <c r="C11" s="13" t="n">
        <v>4</v>
      </c>
      <c r="D11" s="13" t="n">
        <v>12</v>
      </c>
      <c r="E11" s="13" t="n">
        <v>14</v>
      </c>
      <c r="F11" s="13" t="n">
        <v>14</v>
      </c>
      <c r="G11" s="12">
        <f>IF(C11=0,"—",(P10+1)&amp;"–"&amp;P11)</f>
        <v/>
      </c>
      <c r="H11" s="12">
        <f>IF(D11=0,"—",(Q10+1)&amp;"–"&amp;Q11)</f>
        <v/>
      </c>
      <c r="I11" s="12">
        <f>IF(E11=0,"—",(R10+1)&amp;"–"&amp;R11)</f>
        <v/>
      </c>
      <c r="J11" s="12">
        <f>IF(F11=0,"—",(S10+1)&amp;"–"&amp;S11)</f>
        <v/>
      </c>
      <c r="K11" s="12" t="inlineStr">
        <is>
          <t>Fera</t>
        </is>
      </c>
      <c r="L11" s="17" t="inlineStr">
        <is>
          <t>Animais: lobos, wargs, ursos.</t>
        </is>
      </c>
      <c r="P11" s="26">
        <f>SUM(C$6:C11)</f>
        <v/>
      </c>
      <c r="Q11" s="26">
        <f>SUM(D$6:D11)</f>
        <v/>
      </c>
      <c r="R11" s="26">
        <f>SUM(E$6:E11)</f>
        <v/>
      </c>
      <c r="S11" s="26">
        <f>SUM(F$6:F11)</f>
        <v/>
      </c>
      <c r="T11" s="26">
        <f>INDEX(P11:S11,MATCH(Painel!$C$6,$C$5:$F$5,0))</f>
        <v/>
      </c>
    </row>
    <row r="12">
      <c r="B12" s="7" t="inlineStr">
        <is>
          <t>Monstro</t>
        </is>
      </c>
      <c r="C12" s="13" t="n">
        <v>1</v>
      </c>
      <c r="D12" s="13" t="n">
        <v>7</v>
      </c>
      <c r="E12" s="13" t="n">
        <v>18</v>
      </c>
      <c r="F12" s="13" t="n">
        <v>28</v>
      </c>
      <c r="G12" s="12">
        <f>IF(C12=0,"—",(P11+1)&amp;"–"&amp;P12)</f>
        <v/>
      </c>
      <c r="H12" s="12">
        <f>IF(D12=0,"—",(Q11+1)&amp;"–"&amp;Q12)</f>
        <v/>
      </c>
      <c r="I12" s="12">
        <f>IF(E12=0,"—",(R11+1)&amp;"–"&amp;R12)</f>
        <v/>
      </c>
      <c r="J12" s="12">
        <f>IF(F12=0,"—",(S11+1)&amp;"–"&amp;S12)</f>
        <v/>
      </c>
      <c r="K12" s="12" t="inlineStr">
        <is>
          <t>Monstro</t>
        </is>
      </c>
      <c r="L12" s="17" t="inlineStr">
        <is>
          <t>Criaturas do Continente: afogadores, nekkers, carniçais, trolls, grifos...</t>
        </is>
      </c>
      <c r="P12" s="26">
        <f>SUM(C$6:C12)</f>
        <v/>
      </c>
      <c r="Q12" s="26">
        <f>SUM(D$6:D12)</f>
        <v/>
      </c>
      <c r="R12" s="26">
        <f>SUM(E$6:E12)</f>
        <v/>
      </c>
      <c r="S12" s="26">
        <f>SUM(F$6:F12)</f>
        <v/>
      </c>
      <c r="T12" s="26">
        <f>INDEX(P12:S12,MATCH(Painel!$C$6,$C$5:$F$5,0))</f>
        <v/>
      </c>
    </row>
    <row r="13">
      <c r="B13" s="7" t="inlineStr">
        <is>
          <t>Sobrenatural</t>
        </is>
      </c>
      <c r="C13" s="13" t="n">
        <v>0</v>
      </c>
      <c r="D13" s="13" t="n">
        <v>3</v>
      </c>
      <c r="E13" s="13" t="n">
        <v>10</v>
      </c>
      <c r="F13" s="13" t="n">
        <v>16</v>
      </c>
      <c r="G13" s="12">
        <f>IF(C13=0,"—",(P12+1)&amp;"–"&amp;P13)</f>
        <v/>
      </c>
      <c r="H13" s="12">
        <f>IF(D13=0,"—",(Q12+1)&amp;"–"&amp;Q13)</f>
        <v/>
      </c>
      <c r="I13" s="12">
        <f>IF(E13=0,"—",(R12+1)&amp;"–"&amp;R13)</f>
        <v/>
      </c>
      <c r="J13" s="12">
        <f>IF(F13=0,"—",(S12+1)&amp;"–"&amp;S13)</f>
        <v/>
      </c>
      <c r="K13" s="12" t="inlineStr">
        <is>
          <t>Sobrenatural</t>
        </is>
      </c>
      <c r="L13" s="17" t="inlineStr">
        <is>
          <t>Espectros, megeras, leshen, maldições e barganhas.</t>
        </is>
      </c>
      <c r="P13" s="26">
        <f>SUM(C$6:C13)</f>
        <v/>
      </c>
      <c r="Q13" s="26">
        <f>SUM(D$6:D13)</f>
        <v/>
      </c>
      <c r="R13" s="26">
        <f>SUM(E$6:E13)</f>
        <v/>
      </c>
      <c r="S13" s="26">
        <f>SUM(F$6:F13)</f>
        <v/>
      </c>
      <c r="T13" s="26">
        <f>INDEX(P13:S13,MATCH(Painel!$C$6,$C$5:$F$5,0))</f>
        <v/>
      </c>
    </row>
    <row r="14">
      <c r="B14" s="7" t="inlineStr">
        <is>
          <t>Total / conferência</t>
        </is>
      </c>
      <c r="C14" s="14">
        <f>SUM(C6:C13)</f>
        <v/>
      </c>
      <c r="D14" s="14">
        <f>SUM(D6:D13)</f>
        <v/>
      </c>
      <c r="E14" s="14">
        <f>SUM(E6:E13)</f>
        <v/>
      </c>
      <c r="F14" s="14">
        <f>SUM(F6:F13)</f>
        <v/>
      </c>
      <c r="G14" s="12">
        <f>IF(C14=100,"OK","Soma ≠ 100")</f>
        <v/>
      </c>
      <c r="H14" s="12">
        <f>IF(D14=100,"OK","Soma ≠ 100")</f>
        <v/>
      </c>
      <c r="I14" s="12">
        <f>IF(E14=100,"OK","Soma ≠ 100")</f>
        <v/>
      </c>
      <c r="J14" s="12">
        <f>IF(F14=100,"OK","Soma ≠ 100")</f>
        <v/>
      </c>
    </row>
    <row r="16">
      <c r="B16" s="21" t="inlineStr">
        <is>
          <t>Rolagem final = d100 + mod. do período + mod. do clima, limitada entre 1 e 100. Ex.: Manhã −10, Madrugada +15, Neblina +10.</t>
        </is>
      </c>
    </row>
  </sheetData>
  <mergeCells count="2">
    <mergeCell ref="C4:F4"/>
    <mergeCell ref="G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FA89A"/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5" customWidth="1" min="3" max="3"/>
    <col width="26" customWidth="1" min="4" max="4"/>
    <col width="46" customWidth="1" min="5" max="5"/>
    <col width="40" customWidth="1" min="6" max="6"/>
    <col width="46" customWidth="1" min="7" max="7"/>
    <col width="18" customWidth="1" min="8" max="8"/>
  </cols>
  <sheetData>
    <row r="1" ht="28" customHeight="1">
      <c r="B1" s="1" t="inlineStr">
        <is>
          <t>Eventos (d6 dentro do tipo)</t>
        </is>
      </c>
    </row>
    <row r="2">
      <c r="B2" s="2" t="inlineStr">
        <is>
          <t>Se o evento não combinar com o período ou o lugar, role o d6 de novo. Pode reescrever à vontade.</t>
        </is>
      </c>
    </row>
    <row r="4">
      <c r="A4" s="11" t="inlineStr">
        <is>
          <t>Chave</t>
        </is>
      </c>
      <c r="B4" s="11" t="inlineStr">
        <is>
          <t>Tipo</t>
        </is>
      </c>
      <c r="C4" s="11" t="inlineStr">
        <is>
          <t>d6</t>
        </is>
      </c>
      <c r="D4" s="11" t="inlineStr">
        <is>
          <t>Evento</t>
        </is>
      </c>
      <c r="E4" s="11" t="inlineStr">
        <is>
          <t>Descrição inicial</t>
        </is>
      </c>
      <c r="F4" s="11" t="inlineStr">
        <is>
          <t>Opções do jogador</t>
        </is>
      </c>
      <c r="G4" s="11" t="inlineStr">
        <is>
          <t>Reviravolta / nota do mestre</t>
        </is>
      </c>
      <c r="H4" s="11" t="inlineStr">
        <is>
          <t>Melhor período</t>
        </is>
      </c>
    </row>
    <row r="5">
      <c r="A5" s="27">
        <f>B5&amp;"|"&amp;C5</f>
        <v/>
      </c>
      <c r="B5" s="7" t="inlineStr">
        <is>
          <t>Encontro social</t>
        </is>
      </c>
      <c r="C5" s="12" t="n">
        <v>1</v>
      </c>
      <c r="D5" s="7" t="inlineStr">
        <is>
          <t>Mercador ambulante</t>
        </is>
      </c>
      <c r="E5" s="17" t="inlineStr">
        <is>
          <t>Carroça coberta, mula teimosa e um mercador que fala demais.</t>
        </is>
      </c>
      <c r="F5" s="17" t="inlineStr">
        <is>
          <t>Comprar, vender, trocar rumores, barganhar.</t>
        </is>
      </c>
      <c r="G5" s="17" t="inlineStr">
        <is>
          <t>Um item à venda tem má fama; um rumor aponta para um contrato.</t>
        </is>
      </c>
      <c r="H5" s="12" t="inlineStr">
        <is>
          <t>Manhã / Tarde</t>
        </is>
      </c>
    </row>
    <row r="6">
      <c r="A6" s="27">
        <f>B6&amp;"|"&amp;C6</f>
        <v/>
      </c>
      <c r="B6" s="7" t="inlineStr">
        <is>
          <t>Encontro social</t>
        </is>
      </c>
      <c r="C6" s="12" t="n">
        <v>2</v>
      </c>
      <c r="D6" s="7" t="inlineStr">
        <is>
          <t>Viajantes pedem ajuda</t>
        </is>
      </c>
      <c r="E6" s="17" t="inlineStr">
        <is>
          <t>Uma família ou viajante ferido pede escolta ou carona.</t>
        </is>
      </c>
      <c r="F6" s="17" t="inlineStr">
        <is>
          <t>Ajudar, recusar, negociar, investigar a história.</t>
        </is>
      </c>
      <c r="G6" s="17" t="inlineStr">
        <is>
          <t>Gente sincera — ou alguém esconde uma mordida, uma maldição ou uma dívida.</t>
        </is>
      </c>
      <c r="H6" s="12" t="inlineStr">
        <is>
          <t>Manhã / Tarde</t>
        </is>
      </c>
    </row>
    <row r="7">
      <c r="A7" s="27">
        <f>B7&amp;"|"&amp;C7</f>
        <v/>
      </c>
      <c r="B7" s="7" t="inlineStr">
        <is>
          <t>Encontro social</t>
        </is>
      </c>
      <c r="C7" s="12" t="n">
        <v>3</v>
      </c>
      <c r="D7" s="7" t="inlineStr">
        <is>
          <t>Patrulha do reino</t>
        </is>
      </c>
      <c r="E7" s="17" t="inlineStr">
        <is>
          <t>Soldados param o grupo, pedem documentos e perguntam por um desertor.</t>
        </is>
      </c>
      <c r="F7" s="17" t="inlineStr">
        <is>
          <t>Mostrar papéis, subornar, blefar, colaborar.</t>
        </is>
      </c>
      <c r="G7" s="17" t="inlineStr">
        <is>
          <t>O desertor está escondido logo adiante; ou os soldados querem só um 'pedágio'.</t>
        </is>
      </c>
      <c r="H7" s="12" t="inlineStr">
        <is>
          <t>Manhã / Tarde</t>
        </is>
      </c>
    </row>
    <row r="8">
      <c r="A8" s="27">
        <f>B8&amp;"|"&amp;C8</f>
        <v/>
      </c>
      <c r="B8" s="7" t="inlineStr">
        <is>
          <t>Encontro social</t>
        </is>
      </c>
      <c r="C8" s="12" t="n">
        <v>4</v>
      </c>
      <c r="D8" s="7" t="inlineStr">
        <is>
          <t>Bardo e rumores</t>
        </is>
      </c>
      <c r="E8" s="17" t="inlineStr">
        <is>
          <t>Um menestrel na beira da estrada canta sobre um monstro da região.</t>
        </is>
      </c>
      <c r="F8" s="17" t="inlineStr">
        <is>
          <t>Ouvir, pagar por detalhes, seguir junto.</t>
        </is>
      </c>
      <c r="G8" s="17" t="inlineStr">
        <is>
          <t>A canção exagera — ou acerta em algo que ninguém devia saber.</t>
        </is>
      </c>
      <c r="H8" s="12" t="inlineStr">
        <is>
          <t>Tarde / Noite</t>
        </is>
      </c>
    </row>
    <row r="9">
      <c r="A9" s="27">
        <f>B9&amp;"|"&amp;C9</f>
        <v/>
      </c>
      <c r="B9" s="7" t="inlineStr">
        <is>
          <t>Encontro social</t>
        </is>
      </c>
      <c r="C9" s="12" t="n">
        <v>5</v>
      </c>
      <c r="D9" s="7" t="inlineStr">
        <is>
          <t>Caçadores desconfiados</t>
        </is>
      </c>
      <c r="E9" s="17" t="inlineStr">
        <is>
          <t>Dois caçadores perguntam para onde o grupo vai.</t>
        </is>
      </c>
      <c r="F9" s="17" t="inlineStr">
        <is>
          <t>Conversar, trocar informações, perceber contradições.</t>
        </is>
      </c>
      <c r="G9" s="17" t="inlineStr">
        <is>
          <t>Podem ser caçadores legítimos ou batedores de bandidos.</t>
        </is>
      </c>
      <c r="H9" s="12" t="inlineStr">
        <is>
          <t>Manhã / Tarde</t>
        </is>
      </c>
    </row>
    <row r="10">
      <c r="A10" s="27">
        <f>B10&amp;"|"&amp;C10</f>
        <v/>
      </c>
      <c r="B10" s="7" t="inlineStr">
        <is>
          <t>Encontro social</t>
        </is>
      </c>
      <c r="C10" s="12" t="n">
        <v>6</v>
      </c>
      <c r="D10" s="7" t="inlineStr">
        <is>
          <t>Aviso de contrato</t>
        </is>
      </c>
      <c r="E10" s="17" t="inlineStr">
        <is>
          <t>Um poste ou árvore com aviso pregado: recompensa por um monstro.</t>
        </is>
      </c>
      <c r="F10" s="17" t="inlineStr">
        <is>
          <t>Ler, arrancar e levar, ignorar.</t>
        </is>
      </c>
      <c r="G10" s="17" t="inlineStr">
        <is>
          <t>O contratante paga mal, mente sobre o monstro, ou já contratou outro bruxo.</t>
        </is>
      </c>
      <c r="H10" s="12" t="inlineStr">
        <is>
          <t>Qualquer</t>
        </is>
      </c>
    </row>
    <row r="11">
      <c r="A11" s="27">
        <f>B11&amp;"|"&amp;C11</f>
        <v/>
      </c>
      <c r="B11" s="7" t="inlineStr">
        <is>
          <t>Obstáculo</t>
        </is>
      </c>
      <c r="C11" s="12" t="n">
        <v>1</v>
      </c>
      <c r="D11" s="7" t="inlineStr">
        <is>
          <t>Roda quebrada / cavalo manco</t>
        </is>
      </c>
      <c r="E11" s="17" t="inlineStr">
        <is>
          <t>A roda racha num buraco ou o cavalo começa a mancar.</t>
        </is>
      </c>
      <c r="F11" s="17" t="inlineStr">
        <is>
          <t>Reparar, improvisar, perder tempo, seguir a pé.</t>
        </is>
      </c>
      <c r="G11" s="17" t="inlineStr">
        <is>
          <t>Quem ajudar pede algo em troca; a pedra no casco foi colocada de propósito?</t>
        </is>
      </c>
      <c r="H11" s="12" t="inlineStr">
        <is>
          <t>Qualquer</t>
        </is>
      </c>
    </row>
    <row r="12">
      <c r="A12" s="27">
        <f>B12&amp;"|"&amp;C12</f>
        <v/>
      </c>
      <c r="B12" s="7" t="inlineStr">
        <is>
          <t>Obstáculo</t>
        </is>
      </c>
      <c r="C12" s="12" t="n">
        <v>2</v>
      </c>
      <c r="D12" s="7" t="inlineStr">
        <is>
          <t>Travessia alagada</t>
        </is>
      </c>
      <c r="E12" s="17" t="inlineStr">
        <is>
          <t>A ponte caiu ou o vau subiu com a chuva.</t>
        </is>
      </c>
      <c r="F12" s="17" t="inlineStr">
        <is>
          <t>Procurar outro ponto, consertar, atravessar com risco, esperar.</t>
        </is>
      </c>
      <c r="G12" s="17" t="inlineStr">
        <is>
          <t>Água turva e restos na margem: afogadores por perto.</t>
        </is>
      </c>
      <c r="H12" s="12" t="inlineStr">
        <is>
          <t>Qualquer</t>
        </is>
      </c>
    </row>
    <row r="13">
      <c r="A13" s="27">
        <f>B13&amp;"|"&amp;C13</f>
        <v/>
      </c>
      <c r="B13" s="7" t="inlineStr">
        <is>
          <t>Obstáculo</t>
        </is>
      </c>
      <c r="C13" s="12" t="n">
        <v>3</v>
      </c>
      <c r="D13" s="7" t="inlineStr">
        <is>
          <t>Árvore caída</t>
        </is>
      </c>
      <c r="E13" s="17" t="inlineStr">
        <is>
          <t>Um tronco enorme bloqueia a estrada.</t>
        </is>
      </c>
      <c r="F13" s="17" t="inlineStr">
        <is>
          <t>Cortar, contornar pelo mato, puxar com o cavalo.</t>
        </is>
      </c>
      <c r="G13" s="17" t="inlineStr">
        <is>
          <t>Corte limpo de machado: alguém derrubou de propósito (emboscada?).</t>
        </is>
      </c>
      <c r="H13" s="12" t="inlineStr">
        <is>
          <t>Qualquer</t>
        </is>
      </c>
    </row>
    <row r="14">
      <c r="A14" s="27">
        <f>B14&amp;"|"&amp;C14</f>
        <v/>
      </c>
      <c r="B14" s="7" t="inlineStr">
        <is>
          <t>Obstáculo</t>
        </is>
      </c>
      <c r="C14" s="12" t="n">
        <v>4</v>
      </c>
      <c r="D14" s="7" t="inlineStr">
        <is>
          <t>Caminho perdido</t>
        </is>
      </c>
      <c r="E14" s="17" t="inlineStr">
        <is>
          <t>A estrada se divide e nenhuma placa ajuda.</t>
        </is>
      </c>
      <c r="F14" s="17" t="inlineStr">
        <is>
          <t>Sobrevivência para se orientar, perguntar, voltar.</t>
        </is>
      </c>
      <c r="G14" s="17" t="inlineStr">
        <is>
          <t>Errar custa um período — e leva a uma área mais perigosa.</t>
        </is>
      </c>
      <c r="H14" s="12" t="inlineStr">
        <is>
          <t>Qualquer</t>
        </is>
      </c>
    </row>
    <row r="15">
      <c r="A15" s="27">
        <f>B15&amp;"|"&amp;C15</f>
        <v/>
      </c>
      <c r="B15" s="7" t="inlineStr">
        <is>
          <t>Obstáculo</t>
        </is>
      </c>
      <c r="C15" s="12" t="n">
        <v>5</v>
      </c>
      <c r="D15" s="7" t="inlineStr">
        <is>
          <t>Atoleiro</t>
        </is>
      </c>
      <c r="E15" s="17" t="inlineStr">
        <is>
          <t>A carroça afunda na lama até o eixo.</t>
        </is>
      </c>
      <c r="F15" s="17" t="inlineStr">
        <is>
          <t>Empurrar (Força), descarregar, procurar ajuda.</t>
        </is>
      </c>
      <c r="G15" s="17" t="inlineStr">
        <is>
          <t>Lama demais para a estação: há algo represando o riacho acima.</t>
        </is>
      </c>
      <c r="H15" s="12" t="inlineStr">
        <is>
          <t>Manhã / Tarde</t>
        </is>
      </c>
    </row>
    <row r="16">
      <c r="A16" s="27">
        <f>B16&amp;"|"&amp;C16</f>
        <v/>
      </c>
      <c r="B16" s="7" t="inlineStr">
        <is>
          <t>Obstáculo</t>
        </is>
      </c>
      <c r="C16" s="12" t="n">
        <v>6</v>
      </c>
      <c r="D16" s="7" t="inlineStr">
        <is>
          <t>Deslizamento</t>
        </is>
      </c>
      <c r="E16" s="17" t="inlineStr">
        <is>
          <t>Pedras e terra soltas bloqueiam ou ameaçam o trecho.</t>
        </is>
      </c>
      <c r="F16" s="17" t="inlineStr">
        <is>
          <t>Escalar, limpar, esperar, desviar.</t>
        </is>
      </c>
      <c r="G16" s="17" t="inlineStr">
        <is>
          <t>O barulho atrai algo ou revela uma entrada de caverna.</t>
        </is>
      </c>
      <c r="H16" s="12" t="inlineStr">
        <is>
          <t>Qualquer</t>
        </is>
      </c>
    </row>
    <row r="17">
      <c r="A17" s="27">
        <f>B17&amp;"|"&amp;C17</f>
        <v/>
      </c>
      <c r="B17" s="7" t="inlineStr">
        <is>
          <t>Descoberta</t>
        </is>
      </c>
      <c r="C17" s="12" t="n">
        <v>1</v>
      </c>
      <c r="D17" s="7" t="inlineStr">
        <is>
          <t>Carroça abandonada</t>
        </is>
      </c>
      <c r="E17" s="17" t="inlineStr">
        <is>
          <t>Uma carroça tombada, carga espalhada, nenhum corpo.</t>
        </is>
      </c>
      <c r="F17" s="17" t="inlineStr">
        <is>
          <t>Examinar marcas, procurar sobreviventes, saquear.</t>
        </is>
      </c>
      <c r="G17" s="17" t="inlineStr">
        <is>
          <t>Ataque de monstro, de bandidos — ou uma encenação para atrair curiosos.</t>
        </is>
      </c>
      <c r="H17" s="12" t="inlineStr">
        <is>
          <t>Qualquer</t>
        </is>
      </c>
    </row>
    <row r="18">
      <c r="A18" s="27">
        <f>B18&amp;"|"&amp;C18</f>
        <v/>
      </c>
      <c r="B18" s="7" t="inlineStr">
        <is>
          <t>Descoberta</t>
        </is>
      </c>
      <c r="C18" s="12" t="n">
        <v>2</v>
      </c>
      <c r="D18" s="7" t="inlineStr">
        <is>
          <t>Acampamento deserto</t>
        </is>
      </c>
      <c r="E18" s="17" t="inlineStr">
        <is>
          <t>Fogueira ainda morna, pertences espalhados.</t>
        </is>
      </c>
      <c r="F18" s="17" t="inlineStr">
        <is>
          <t>Examinar rastros, procurar donos, seguir as pegadas.</t>
        </is>
      </c>
      <c r="G18" s="17" t="inlineStr">
        <is>
          <t>Fuga apressada, ataque recente ou armadilha.</t>
        </is>
      </c>
      <c r="H18" s="12" t="inlineStr">
        <is>
          <t>Qualquer</t>
        </is>
      </c>
    </row>
    <row r="19">
      <c r="A19" s="27">
        <f>B19&amp;"|"&amp;C19</f>
        <v/>
      </c>
      <c r="B19" s="7" t="inlineStr">
        <is>
          <t>Descoberta</t>
        </is>
      </c>
      <c r="C19" s="12" t="n">
        <v>3</v>
      </c>
      <c r="D19" s="7" t="inlineStr">
        <is>
          <t>Ervas e ingredientes</t>
        </is>
      </c>
      <c r="E19" s="17" t="inlineStr">
        <is>
          <t>Uma clareira com plantas úteis para alquimia.</t>
        </is>
      </c>
      <c r="F19" s="17" t="inlineStr">
        <is>
          <t>Colher (Sobrevivência / Medicina), marcar no mapa.</t>
        </is>
      </c>
      <c r="G19" s="17" t="inlineStr">
        <is>
          <t>Ingredientes raros perto de um ninho; colher pode acordar o dono.</t>
        </is>
      </c>
      <c r="H19" s="12" t="inlineStr">
        <is>
          <t>Manhã / Tarde</t>
        </is>
      </c>
    </row>
    <row r="20">
      <c r="A20" s="27">
        <f>B20&amp;"|"&amp;C20</f>
        <v/>
      </c>
      <c r="B20" s="7" t="inlineStr">
        <is>
          <t>Descoberta</t>
        </is>
      </c>
      <c r="C20" s="12" t="n">
        <v>4</v>
      </c>
      <c r="D20" s="7" t="inlineStr">
        <is>
          <t>Santuário esquecido</t>
        </is>
      </c>
      <c r="E20" s="17" t="inlineStr">
        <is>
          <t>Altar de pedra com musgo e oferendas antigas.</t>
        </is>
      </c>
      <c r="F20" s="17" t="inlineStr">
        <is>
          <t>Deixar oferenda, descansar, examinar, profanar.</t>
        </is>
      </c>
      <c r="G20" s="17" t="inlineStr">
        <is>
          <t>Pequena bênção (descanso, pista) — ou atrai o que foi invocado ali.</t>
        </is>
      </c>
      <c r="H20" s="12" t="inlineStr">
        <is>
          <t>Qualquer</t>
        </is>
      </c>
    </row>
    <row r="21">
      <c r="A21" s="27">
        <f>B21&amp;"|"&amp;C21</f>
        <v/>
      </c>
      <c r="B21" s="7" t="inlineStr">
        <is>
          <t>Descoberta</t>
        </is>
      </c>
      <c r="C21" s="12" t="n">
        <v>5</v>
      </c>
      <c r="D21" s="7" t="inlineStr">
        <is>
          <t>Cadáver com pertences</t>
        </is>
      </c>
      <c r="E21" s="17" t="inlineStr">
        <is>
          <t>Um viajante morto, com mochila, mapa ou carta.</t>
        </is>
      </c>
      <c r="F21" s="17" t="inlineStr">
        <is>
          <t>Revistar, enterrar, ler a carta, identificar a causa.</t>
        </is>
      </c>
      <c r="G21" s="17" t="inlineStr">
        <is>
          <t>A carta é um gancho; o ferimento é de uma criatura da região.</t>
        </is>
      </c>
      <c r="H21" s="12" t="inlineStr">
        <is>
          <t>Qualquer</t>
        </is>
      </c>
    </row>
    <row r="22">
      <c r="A22" s="27">
        <f>B22&amp;"|"&amp;C22</f>
        <v/>
      </c>
      <c r="B22" s="7" t="inlineStr">
        <is>
          <t>Descoberta</t>
        </is>
      </c>
      <c r="C22" s="12" t="n">
        <v>6</v>
      </c>
      <c r="D22" s="7" t="inlineStr">
        <is>
          <t>Torre ou aldeia abandonada</t>
        </is>
      </c>
      <c r="E22" s="17" t="inlineStr">
        <is>
          <t>Casas vazias, mesas postas, nenhuma alma.</t>
        </is>
      </c>
      <c r="F22" s="17" t="inlineStr">
        <is>
          <t>Explorar, procurar diários, usar de abrigo.</t>
        </is>
      </c>
      <c r="G22" s="17" t="inlineStr">
        <is>
          <t>Evacuada, atacada ou amaldiçoada; cada casa guarda uma pista.</t>
        </is>
      </c>
      <c r="H22" s="12" t="inlineStr">
        <is>
          <t>Tarde / Noite</t>
        </is>
      </c>
    </row>
    <row r="23">
      <c r="A23" s="27">
        <f>B23&amp;"|"&amp;C23</f>
        <v/>
      </c>
      <c r="B23" s="7" t="inlineStr">
        <is>
          <t>Pista / presságio</t>
        </is>
      </c>
      <c r="C23" s="12" t="n">
        <v>1</v>
      </c>
      <c r="D23" s="7" t="inlineStr">
        <is>
          <t>Pegadas estranhas</t>
        </is>
      </c>
      <c r="E23" s="17" t="inlineStr">
        <is>
          <t>Pegadas recentes na lama ou na margem.</t>
        </is>
      </c>
      <c r="F23" s="17" t="inlineStr">
        <is>
          <t>Rastrear, comparar com o que sabe, mudar de rota, se preparar.</t>
        </is>
      </c>
      <c r="G23" s="17" t="inlineStr">
        <is>
          <t>A pista não obriga combate; pode ser só um aviso.</t>
        </is>
      </c>
      <c r="H23" s="12" t="inlineStr">
        <is>
          <t>Qualquer</t>
        </is>
      </c>
    </row>
    <row r="24">
      <c r="A24" s="27">
        <f>B24&amp;"|"&amp;C24</f>
        <v/>
      </c>
      <c r="B24" s="7" t="inlineStr">
        <is>
          <t>Pista / presságio</t>
        </is>
      </c>
      <c r="C24" s="12" t="n">
        <v>2</v>
      </c>
      <c r="D24" s="7" t="inlineStr">
        <is>
          <t>Corvos e carcaça</t>
        </is>
      </c>
      <c r="E24" s="17" t="inlineStr">
        <is>
          <t>Corvos circulam uma carcaça meio devorada.</t>
        </is>
      </c>
      <c r="F24" s="17" t="inlineStr">
        <is>
          <t>Examinar feridas, acampar longe, usar como isca.</t>
        </is>
      </c>
      <c r="G24" s="17" t="inlineStr">
        <is>
          <t>O predador pode voltar ao anoitecer.</t>
        </is>
      </c>
      <c r="H24" s="12" t="inlineStr">
        <is>
          <t>Tarde / Noite</t>
        </is>
      </c>
    </row>
    <row r="25">
      <c r="A25" s="27">
        <f>B25&amp;"|"&amp;C25</f>
        <v/>
      </c>
      <c r="B25" s="7" t="inlineStr">
        <is>
          <t>Pista / presságio</t>
        </is>
      </c>
      <c r="C25" s="12" t="n">
        <v>3</v>
      </c>
      <c r="D25" s="7" t="inlineStr">
        <is>
          <t>Cavalo inquieto</t>
        </is>
      </c>
      <c r="E25" s="17" t="inlineStr">
        <is>
          <t>O cavalo empaca, bufa e não quer seguir.</t>
        </is>
      </c>
      <c r="F25" s="17" t="inlineStr">
        <is>
          <t>Acalmar (Lidar com Animais), examinar a área, forçar passagem.</t>
        </is>
      </c>
      <c r="G25" s="17" t="inlineStr">
        <is>
          <t>O animal sente o que o grupo ainda não percebeu.</t>
        </is>
      </c>
      <c r="H25" s="12" t="inlineStr">
        <is>
          <t>Noite / Madrugada</t>
        </is>
      </c>
    </row>
    <row r="26">
      <c r="A26" s="27">
        <f>B26&amp;"|"&amp;C26</f>
        <v/>
      </c>
      <c r="B26" s="7" t="inlineStr">
        <is>
          <t>Pista / presságio</t>
        </is>
      </c>
      <c r="C26" s="12" t="n">
        <v>4</v>
      </c>
      <c r="D26" s="7" t="inlineStr">
        <is>
          <t>Árvores marcadas</t>
        </is>
      </c>
      <c r="E26" s="17" t="inlineStr">
        <is>
          <t>Símbolos nos troncos, animais mortos pendurados.</t>
        </is>
      </c>
      <c r="F26" s="17" t="inlineStr">
        <is>
          <t>Examinar, recuar, queimar os marcos, seguir.</t>
        </is>
      </c>
      <c r="G26" s="17" t="inlineStr">
        <is>
          <t>Totem de culto ou território de criatura antiga.</t>
        </is>
      </c>
      <c r="H26" s="12" t="inlineStr">
        <is>
          <t>Qualquer</t>
        </is>
      </c>
    </row>
    <row r="27">
      <c r="A27" s="27">
        <f>B27&amp;"|"&amp;C27</f>
        <v/>
      </c>
      <c r="B27" s="7" t="inlineStr">
        <is>
          <t>Pista / presságio</t>
        </is>
      </c>
      <c r="C27" s="12" t="n">
        <v>5</v>
      </c>
      <c r="D27" s="7" t="inlineStr">
        <is>
          <t>Gritos ao longe</t>
        </is>
      </c>
      <c r="E27" s="17" t="inlineStr">
        <is>
          <t>Uivos, gritos ou um choro que não parece humano.</t>
        </is>
      </c>
      <c r="F27" s="17" t="inlineStr">
        <is>
          <t>Investigar, ignorar, montar vigília dupla.</t>
        </is>
      </c>
      <c r="G27" s="17" t="inlineStr">
        <is>
          <t>Pode ser uma vítima de verdade — ou uma isca.</t>
        </is>
      </c>
      <c r="H27" s="12" t="inlineStr">
        <is>
          <t>Noite / Madrugada</t>
        </is>
      </c>
    </row>
    <row r="28">
      <c r="A28" s="27">
        <f>B28&amp;"|"&amp;C28</f>
        <v/>
      </c>
      <c r="B28" s="7" t="inlineStr">
        <is>
          <t>Pista / presságio</t>
        </is>
      </c>
      <c r="C28" s="12" t="n">
        <v>6</v>
      </c>
      <c r="D28" s="7" t="inlineStr">
        <is>
          <t>Covil fresco</t>
        </is>
      </c>
      <c r="E28" s="17" t="inlineStr">
        <is>
          <t>Ossos roídos, toca cavada, cheiro forte.</t>
        </is>
      </c>
      <c r="F28" s="17" t="inlineStr">
        <is>
          <t>Examinar, destruir, armar armadilha, sair rápido.</t>
        </is>
      </c>
      <c r="G28" s="17" t="inlineStr">
        <is>
          <t>Está vazio... por enquanto.</t>
        </is>
      </c>
      <c r="H28" s="12" t="inlineStr">
        <is>
          <t>Qualquer</t>
        </is>
      </c>
    </row>
    <row r="29">
      <c r="A29" s="27">
        <f>B29&amp;"|"&amp;C29</f>
        <v/>
      </c>
      <c r="B29" s="7" t="inlineStr">
        <is>
          <t>Humanos hostis</t>
        </is>
      </c>
      <c r="C29" s="12" t="n">
        <v>1</v>
      </c>
      <c r="D29" s="7" t="inlineStr">
        <is>
          <t>Pedágio ilegal</t>
        </is>
      </c>
      <c r="E29" s="17" t="inlineStr">
        <is>
          <t>Armados exigem pagamento numa ponte ou trecho.</t>
        </is>
      </c>
      <c r="F29" s="17" t="inlineStr">
        <is>
          <t>Pagar, blefar, negociar, contornar, lutar.</t>
        </is>
      </c>
      <c r="G29" s="17" t="inlineStr">
        <is>
          <t>Bandidos comuns ou capangas de um senhor local.</t>
        </is>
      </c>
      <c r="H29" s="12" t="inlineStr">
        <is>
          <t>Manhã / Tarde</t>
        </is>
      </c>
    </row>
    <row r="30">
      <c r="A30" s="27">
        <f>B30&amp;"|"&amp;C30</f>
        <v/>
      </c>
      <c r="B30" s="7" t="inlineStr">
        <is>
          <t>Humanos hostis</t>
        </is>
      </c>
      <c r="C30" s="12" t="n">
        <v>2</v>
      </c>
      <c r="D30" s="7" t="inlineStr">
        <is>
          <t>Emboscada na estrada</t>
        </is>
      </c>
      <c r="E30" s="17" t="inlineStr">
        <is>
          <t>Árvore derrubada, arqueiros no mato.</t>
        </is>
      </c>
      <c r="F30" s="17" t="inlineStr">
        <is>
          <t>Perceber antes (Percepção), recuar, lutar, negociar.</t>
        </is>
      </c>
      <c r="G30" s="17" t="inlineStr">
        <is>
          <t>Querem a carga, não sangue; rendição é possível.</t>
        </is>
      </c>
      <c r="H30" s="12" t="inlineStr">
        <is>
          <t>Tarde</t>
        </is>
      </c>
    </row>
    <row r="31">
      <c r="A31" s="27">
        <f>B31&amp;"|"&amp;C31</f>
        <v/>
      </c>
      <c r="B31" s="7" t="inlineStr">
        <is>
          <t>Humanos hostis</t>
        </is>
      </c>
      <c r="C31" s="12" t="n">
        <v>3</v>
      </c>
      <c r="D31" s="7" t="inlineStr">
        <is>
          <t>Desertores famintos</t>
        </is>
      </c>
      <c r="E31" s="17" t="inlineStr">
        <is>
          <t>Soldados sujos e desesperados cercam o grupo.</t>
        </is>
      </c>
      <c r="F31" s="17" t="inlineStr">
        <is>
          <t>Dar comida, intimidar, lutar, convencer.</t>
        </is>
      </c>
      <c r="G31" s="17" t="inlineStr">
        <is>
          <t>Comida resolve; contar à patrulha os condena à forca.</t>
        </is>
      </c>
      <c r="H31" s="12" t="inlineStr">
        <is>
          <t>Qualquer</t>
        </is>
      </c>
    </row>
    <row r="32">
      <c r="A32" s="27">
        <f>B32&amp;"|"&amp;C32</f>
        <v/>
      </c>
      <c r="B32" s="7" t="inlineStr">
        <is>
          <t>Humanos hostis</t>
        </is>
      </c>
      <c r="C32" s="12" t="n">
        <v>4</v>
      </c>
      <c r="D32" s="7" t="inlineStr">
        <is>
          <t>Caçadores de bruxas</t>
        </is>
      </c>
      <c r="E32" s="17" t="inlineStr">
        <is>
          <t>Fanáticos acusam alguém do grupo de feitiçaria.</t>
        </is>
      </c>
      <c r="F32" s="17" t="inlineStr">
        <is>
          <t>Provar inocência, subornar, fugir, lutar.</t>
        </is>
      </c>
      <c r="G32" s="17" t="inlineStr">
        <is>
          <t>Têm um prisioneiro inocente — ou culpado.</t>
        </is>
      </c>
      <c r="H32" s="12" t="inlineStr">
        <is>
          <t>Manhã / Tarde</t>
        </is>
      </c>
    </row>
    <row r="33">
      <c r="A33" s="27">
        <f>B33&amp;"|"&amp;C33</f>
        <v/>
      </c>
      <c r="B33" s="7" t="inlineStr">
        <is>
          <t>Humanos hostis</t>
        </is>
      </c>
      <c r="C33" s="12" t="n">
        <v>5</v>
      </c>
      <c r="D33" s="7" t="inlineStr">
        <is>
          <t>Saqueadores de cadáveres</t>
        </is>
      </c>
      <c r="E33" s="17" t="inlineStr">
        <is>
          <t>Gente revirando mortos de uma batalha.</t>
        </is>
      </c>
      <c r="F33" s="17" t="inlineStr">
        <is>
          <t>Espantar, ignorar, negociar, juntar-se.</t>
        </is>
      </c>
      <c r="G33" s="17" t="inlineStr">
        <is>
          <t>Carniçais também gostam desse lugar.</t>
        </is>
      </c>
      <c r="H33" s="12" t="inlineStr">
        <is>
          <t>Tarde / Noite</t>
        </is>
      </c>
    </row>
    <row r="34">
      <c r="A34" s="27">
        <f>B34&amp;"|"&amp;C34</f>
        <v/>
      </c>
      <c r="B34" s="7" t="inlineStr">
        <is>
          <t>Humanos hostis</t>
        </is>
      </c>
      <c r="C34" s="12" t="n">
        <v>6</v>
      </c>
      <c r="D34" s="7" t="inlineStr">
        <is>
          <t>Ritual ou sequestro</t>
        </is>
      </c>
      <c r="E34" s="17" t="inlineStr">
        <is>
          <t>Vultos levando alguém amarrado para a mata.</t>
        </is>
      </c>
      <c r="F34" s="17" t="inlineStr">
        <is>
          <t>Seguir, intervir, avisar a aldeia.</t>
        </is>
      </c>
      <c r="G34" s="17" t="inlineStr">
        <is>
          <t>O 'sacrifício' pode ser oferenda a algo bem real.</t>
        </is>
      </c>
      <c r="H34" s="12" t="inlineStr">
        <is>
          <t>Noite / Madrugada</t>
        </is>
      </c>
    </row>
    <row r="35">
      <c r="A35" s="27">
        <f>B35&amp;"|"&amp;C35</f>
        <v/>
      </c>
      <c r="B35" s="7" t="inlineStr">
        <is>
          <t>Fera</t>
        </is>
      </c>
      <c r="C35" s="12" t="n">
        <v>1</v>
      </c>
      <c r="D35" s="7" t="inlineStr">
        <is>
          <t>Matilha rondando</t>
        </is>
      </c>
      <c r="E35" s="17" t="inlineStr">
        <is>
          <t>Olhos brilhando entre as árvores, cada vez mais perto.</t>
        </is>
      </c>
      <c r="F35" s="17" t="inlineStr">
        <is>
          <t>Acender fogo, afugentar, evitar, lutar.</t>
        </is>
      </c>
      <c r="G35" s="17" t="inlineStr">
        <is>
          <t>Fome, não ódio: um animal caído pode bastar para irem embora.</t>
        </is>
      </c>
      <c r="H35" s="12" t="inlineStr">
        <is>
          <t>Noite / Madrugada</t>
        </is>
      </c>
    </row>
    <row r="36">
      <c r="A36" s="27">
        <f>B36&amp;"|"&amp;C36</f>
        <v/>
      </c>
      <c r="B36" s="7" t="inlineStr">
        <is>
          <t>Fera</t>
        </is>
      </c>
      <c r="C36" s="12" t="n">
        <v>2</v>
      </c>
      <c r="D36" s="7" t="inlineStr">
        <is>
          <t>Animal ferido</t>
        </is>
      </c>
      <c r="E36" s="17" t="inlineStr">
        <is>
          <t>Um bicho preso em armadilha ou ferido, furioso.</t>
        </is>
      </c>
      <c r="F36" s="17" t="inlineStr">
        <is>
          <t>Libertar, sacrificar, contornar.</t>
        </is>
      </c>
      <c r="G36" s="17" t="inlineStr">
        <is>
          <t>A armadilha é de caçadores ilegais — ou de algo que não usa ferro.</t>
        </is>
      </c>
      <c r="H36" s="12" t="inlineStr">
        <is>
          <t>Qualquer</t>
        </is>
      </c>
    </row>
    <row r="37">
      <c r="A37" s="27">
        <f>B37&amp;"|"&amp;C37</f>
        <v/>
      </c>
      <c r="B37" s="7" t="inlineStr">
        <is>
          <t>Fera</t>
        </is>
      </c>
      <c r="C37" s="12" t="n">
        <v>3</v>
      </c>
      <c r="D37" s="7" t="inlineStr">
        <is>
          <t>Território marcado</t>
        </is>
      </c>
      <c r="E37" s="17" t="inlineStr">
        <is>
          <t>Marcas de garras e urina; a fera avança para testar.</t>
        </is>
      </c>
      <c r="F37" s="17" t="inlineStr">
        <is>
          <t>Recuar devagar, intimidar, lutar.</t>
        </is>
      </c>
      <c r="G37" s="17" t="inlineStr">
        <is>
          <t>Se o grupo recuar, não há combate.</t>
        </is>
      </c>
      <c r="H37" s="12" t="inlineStr">
        <is>
          <t>Qualquer</t>
        </is>
      </c>
    </row>
    <row r="38">
      <c r="A38" s="27">
        <f>B38&amp;"|"&amp;C38</f>
        <v/>
      </c>
      <c r="B38" s="7" t="inlineStr">
        <is>
          <t>Fera</t>
        </is>
      </c>
      <c r="C38" s="12" t="n">
        <v>4</v>
      </c>
      <c r="D38" s="7" t="inlineStr">
        <is>
          <t>Ataque ao acampamento</t>
        </is>
      </c>
      <c r="E38" s="17" t="inlineStr">
        <is>
          <t>Algo tenta pegar o cavalo ou a comida no escuro.</t>
        </is>
      </c>
      <c r="F38" s="17" t="inlineStr">
        <is>
          <t>Vigília, perseguir, proteger o cavalo.</t>
        </is>
      </c>
      <c r="G38" s="17" t="inlineStr">
        <is>
          <t>Perder o cavalo atrasa a viagem inteira.</t>
        </is>
      </c>
      <c r="H38" s="12" t="inlineStr">
        <is>
          <t>Noite / Madrugada</t>
        </is>
      </c>
    </row>
    <row r="39">
      <c r="A39" s="27">
        <f>B39&amp;"|"&amp;C39</f>
        <v/>
      </c>
      <c r="B39" s="7" t="inlineStr">
        <is>
          <t>Fera</t>
        </is>
      </c>
      <c r="C39" s="12" t="n">
        <v>5</v>
      </c>
      <c r="D39" s="7" t="inlineStr">
        <is>
          <t>Debandada</t>
        </is>
      </c>
      <c r="E39" s="17" t="inlineStr">
        <is>
          <t>Animais passam correndo, fugindo de algo pior.</t>
        </is>
      </c>
      <c r="F39" s="17" t="inlineStr">
        <is>
          <t>Sair do caminho (Esquiva), olhar de onde vieram.</t>
        </is>
      </c>
      <c r="G39" s="17" t="inlineStr">
        <is>
          <t>Funciona como presságio de algo maior.</t>
        </is>
      </c>
      <c r="H39" s="12" t="inlineStr">
        <is>
          <t>Qualquer</t>
        </is>
      </c>
    </row>
    <row r="40">
      <c r="A40" s="27">
        <f>B40&amp;"|"&amp;C40</f>
        <v/>
      </c>
      <c r="B40" s="7" t="inlineStr">
        <is>
          <t>Fera</t>
        </is>
      </c>
      <c r="C40" s="12" t="n">
        <v>6</v>
      </c>
      <c r="D40" s="7" t="inlineStr">
        <is>
          <t>Mãe com filhotes</t>
        </is>
      </c>
      <c r="E40" s="17" t="inlineStr">
        <is>
          <t>Uma toca com filhotes na beira do caminho.</t>
        </is>
      </c>
      <c r="F40" s="17" t="inlineStr">
        <is>
          <t>Contornar com cuidado, distrair, enfrentar.</t>
        </is>
      </c>
      <c r="G40" s="17" t="inlineStr">
        <is>
          <t>Matar a mãe atrai a ira de um caçador local ou druida.</t>
        </is>
      </c>
      <c r="H40" s="12" t="inlineStr">
        <is>
          <t>Manhã / Tarde</t>
        </is>
      </c>
    </row>
    <row r="41">
      <c r="A41" s="27">
        <f>B41&amp;"|"&amp;C41</f>
        <v/>
      </c>
      <c r="B41" s="7" t="inlineStr">
        <is>
          <t>Monstro</t>
        </is>
      </c>
      <c r="C41" s="12" t="n">
        <v>1</v>
      </c>
      <c r="D41" s="7" t="inlineStr">
        <is>
          <t>Gritos adiante</t>
        </is>
      </c>
      <c r="E41" s="17" t="inlineStr">
        <is>
          <t>Uma carroça é atacada um pouco à frente.</t>
        </is>
      </c>
      <c r="F41" s="17" t="inlineStr">
        <is>
          <t>Correr para ajudar, observar, esperar terminar.</t>
        </is>
      </c>
      <c r="G41" s="17" t="inlineStr">
        <is>
          <t>Salvar alguém rende aliado, recompensa ou dívida.</t>
        </is>
      </c>
      <c r="H41" s="12" t="inlineStr">
        <is>
          <t>Qualquer</t>
        </is>
      </c>
    </row>
    <row r="42">
      <c r="A42" s="27">
        <f>B42&amp;"|"&amp;C42</f>
        <v/>
      </c>
      <c r="B42" s="7" t="inlineStr">
        <is>
          <t>Monstro</t>
        </is>
      </c>
      <c r="C42" s="12" t="n">
        <v>2</v>
      </c>
      <c r="D42" s="7" t="inlineStr">
        <is>
          <t>Ninho perto da estrada</t>
        </is>
      </c>
      <c r="E42" s="17" t="inlineStr">
        <is>
          <t>Restos e ossos levam a um ninho ativo.</t>
        </is>
      </c>
      <c r="F42" s="17" t="inlineStr">
        <is>
          <t>Destruir o ninho, evitar, marcar para depois.</t>
        </is>
      </c>
      <c r="G42" s="17" t="inlineStr">
        <is>
          <t>Destruir o ninho vale contrato numa aldeia próxima.</t>
        </is>
      </c>
      <c r="H42" s="12" t="inlineStr">
        <is>
          <t>Qualquer</t>
        </is>
      </c>
    </row>
    <row r="43">
      <c r="A43" s="27">
        <f>B43&amp;"|"&amp;C43</f>
        <v/>
      </c>
      <c r="B43" s="7" t="inlineStr">
        <is>
          <t>Monstro</t>
        </is>
      </c>
      <c r="C43" s="12" t="n">
        <v>3</v>
      </c>
      <c r="D43" s="7" t="inlineStr">
        <is>
          <t>Banquete</t>
        </is>
      </c>
      <c r="E43" s="17" t="inlineStr">
        <is>
          <t>Monstros comendo uma carcaça ou cadáveres.</t>
        </is>
      </c>
      <c r="F43" s="17" t="inlineStr">
        <is>
          <t>Passar escondido (Furtividade), atacar de surpresa, recuar.</t>
        </is>
      </c>
      <c r="G43" s="17" t="inlineStr">
        <is>
          <t>Se ficarem distraídos, o grupo pode simplesmente ir embora.</t>
        </is>
      </c>
      <c r="H43" s="12" t="inlineStr">
        <is>
          <t>Noite / Madrugada</t>
        </is>
      </c>
    </row>
    <row r="44">
      <c r="A44" s="27">
        <f>B44&amp;"|"&amp;C44</f>
        <v/>
      </c>
      <c r="B44" s="7" t="inlineStr">
        <is>
          <t>Monstro</t>
        </is>
      </c>
      <c r="C44" s="12" t="n">
        <v>4</v>
      </c>
      <c r="D44" s="7" t="inlineStr">
        <is>
          <t>Perseguição</t>
        </is>
      </c>
      <c r="E44" s="17" t="inlineStr">
        <is>
          <t>Algo segue o grupo há horas, sem se mostrar.</t>
        </is>
      </c>
      <c r="F44" s="17" t="inlineStr">
        <is>
          <t>Preparar emboscada, acelerar, tentar despistar.</t>
        </is>
      </c>
      <c r="G44" s="17" t="inlineStr">
        <is>
          <t>Ataca quando o grupo parar para descansar.</t>
        </is>
      </c>
      <c r="H44" s="12" t="inlineStr">
        <is>
          <t>Noite / Madrugada</t>
        </is>
      </c>
    </row>
    <row r="45">
      <c r="A45" s="27">
        <f>B45&amp;"|"&amp;C45</f>
        <v/>
      </c>
      <c r="B45" s="7" t="inlineStr">
        <is>
          <t>Monstro</t>
        </is>
      </c>
      <c r="C45" s="12" t="n">
        <v>5</v>
      </c>
      <c r="D45" s="7" t="inlineStr">
        <is>
          <t>Ataque da água ou do mato</t>
        </is>
      </c>
      <c r="E45" s="17" t="inlineStr">
        <is>
          <t>A criatura sai do junco, da lama ou do mato alto.</t>
        </is>
      </c>
      <c r="F45" s="17" t="inlineStr">
        <is>
          <t>Reagir, recuar para terreno aberto, lutar.</t>
        </is>
      </c>
      <c r="G45" s="17" t="inlineStr">
        <is>
          <t>Lutar no terreno dela é desvantagem; recuar muda tudo.</t>
        </is>
      </c>
      <c r="H45" s="12" t="inlineStr">
        <is>
          <t>Qualquer</t>
        </is>
      </c>
    </row>
    <row r="46">
      <c r="A46" s="27">
        <f>B46&amp;"|"&amp;C46</f>
        <v/>
      </c>
      <c r="B46" s="7" t="inlineStr">
        <is>
          <t>Monstro</t>
        </is>
      </c>
      <c r="C46" s="12" t="n">
        <v>6</v>
      </c>
      <c r="D46" s="7" t="inlineStr">
        <is>
          <t>Contrato vivo</t>
        </is>
      </c>
      <c r="E46" s="17" t="inlineStr">
        <is>
          <t>Aldeões aflitos: esta criatura matou alguém ontem.</t>
        </is>
      </c>
      <c r="F46" s="17" t="inlineStr">
        <is>
          <t>Negociar o pagamento, investigar, caçar.</t>
        </is>
      </c>
      <c r="G46" s="17" t="inlineStr">
        <is>
          <t>Vira missão secundária; não precisa terminar nesta viagem.</t>
        </is>
      </c>
      <c r="H46" s="12" t="inlineStr">
        <is>
          <t>Tarde</t>
        </is>
      </c>
    </row>
    <row r="47">
      <c r="A47" s="27">
        <f>B47&amp;"|"&amp;C47</f>
        <v/>
      </c>
      <c r="B47" s="7" t="inlineStr">
        <is>
          <t>Sobrenatural</t>
        </is>
      </c>
      <c r="C47" s="12" t="n">
        <v>1</v>
      </c>
      <c r="D47" s="7" t="inlineStr">
        <is>
          <t>Névoa estranha</t>
        </is>
      </c>
      <c r="E47" s="17" t="inlineStr">
        <is>
          <t>Névoa cobre a estrada; sons e vultos fora de lugar.</t>
        </is>
      </c>
      <c r="F47" s="17" t="inlineStr">
        <is>
          <t>Seguir marcos, esperar, investigar, sair da estrada.</t>
        </is>
      </c>
      <c r="G47" s="17" t="inlineStr">
        <is>
          <t>Clima comum ou sinal de área amaldiçoada.</t>
        </is>
      </c>
      <c r="H47" s="12" t="inlineStr">
        <is>
          <t>Madrugada / Manhã</t>
        </is>
      </c>
    </row>
    <row r="48">
      <c r="A48" s="27">
        <f>B48&amp;"|"&amp;C48</f>
        <v/>
      </c>
      <c r="B48" s="7" t="inlineStr">
        <is>
          <t>Sobrenatural</t>
        </is>
      </c>
      <c r="C48" s="12" t="n">
        <v>2</v>
      </c>
      <c r="D48" s="7" t="inlineStr">
        <is>
          <t>Aparição ao longe</t>
        </is>
      </c>
      <c r="E48" s="17" t="inlineStr">
        <is>
          <t>Uma figura na beira da estrada que some ao se aproximar.</t>
        </is>
      </c>
      <c r="F48" s="17" t="inlineStr">
        <is>
          <t>Seguir, procurar vestígios, ignorar.</t>
        </is>
      </c>
      <c r="G48" s="17" t="inlineStr">
        <is>
          <t>Morte injusta pede justiça; resolver a história acalma o espírito.</t>
        </is>
      </c>
      <c r="H48" s="12" t="inlineStr">
        <is>
          <t>Noite / Madrugada</t>
        </is>
      </c>
    </row>
    <row r="49">
      <c r="A49" s="27">
        <f>B49&amp;"|"&amp;C49</f>
        <v/>
      </c>
      <c r="B49" s="7" t="inlineStr">
        <is>
          <t>Sobrenatural</t>
        </is>
      </c>
      <c r="C49" s="12" t="n">
        <v>3</v>
      </c>
      <c r="D49" s="7" t="inlineStr">
        <is>
          <t>Luzes no pântano</t>
        </is>
      </c>
      <c r="E49" s="17" t="inlineStr">
        <is>
          <t>Luzinhas dançam e chamam para fora da estrada.</t>
        </is>
      </c>
      <c r="F49" s="17" t="inlineStr">
        <is>
          <t>Seguir, resistir (Vontade), marcar o lugar.</t>
        </is>
      </c>
      <c r="G49" s="17" t="inlineStr">
        <is>
          <t>Levam a um tesouro, a um afogamento ou a quem as acende.</t>
        </is>
      </c>
      <c r="H49" s="12" t="inlineStr">
        <is>
          <t>Noite / Madrugada</t>
        </is>
      </c>
    </row>
    <row r="50">
      <c r="A50" s="27">
        <f>B50&amp;"|"&amp;C50</f>
        <v/>
      </c>
      <c r="B50" s="7" t="inlineStr">
        <is>
          <t>Sobrenatural</t>
        </is>
      </c>
      <c r="C50" s="12" t="n">
        <v>4</v>
      </c>
      <c r="D50" s="7" t="inlineStr">
        <is>
          <t>Pesadelo compartilhado</t>
        </is>
      </c>
      <c r="E50" s="17" t="inlineStr">
        <is>
          <t>Todos sonham a mesma coisa no acampamento.</t>
        </is>
      </c>
      <c r="F50" s="17" t="inlineStr">
        <is>
          <t>Interpretar o sonho, mudar de lugar, investigar.</t>
        </is>
      </c>
      <c r="G50" s="17" t="inlineStr">
        <is>
          <t>Algo está chamando — ou avisando.</t>
        </is>
      </c>
      <c r="H50" s="12" t="inlineStr">
        <is>
          <t>Madrugada</t>
        </is>
      </c>
    </row>
    <row r="51">
      <c r="A51" s="27">
        <f>B51&amp;"|"&amp;C51</f>
        <v/>
      </c>
      <c r="B51" s="7" t="inlineStr">
        <is>
          <t>Sobrenatural</t>
        </is>
      </c>
      <c r="C51" s="12" t="n">
        <v>5</v>
      </c>
      <c r="D51" s="7" t="inlineStr">
        <is>
          <t>Túmulo profanado</t>
        </is>
      </c>
      <c r="E51" s="17" t="inlineStr">
        <is>
          <t>Sepultura aberta, cruz quebrada, frio repentino.</t>
        </is>
      </c>
      <c r="F51" s="17" t="inlineStr">
        <is>
          <t>Restaurar, investigar, saquear, sair.</t>
        </is>
      </c>
      <c r="G51" s="17" t="inlineStr">
        <is>
          <t>Os mortos querem algo de volta.</t>
        </is>
      </c>
      <c r="H51" s="12" t="inlineStr">
        <is>
          <t>Noite / Madrugada</t>
        </is>
      </c>
    </row>
    <row r="52">
      <c r="A52" s="27">
        <f>B52&amp;"|"&amp;C52</f>
        <v/>
      </c>
      <c r="B52" s="7" t="inlineStr">
        <is>
          <t>Sobrenatural</t>
        </is>
      </c>
      <c r="C52" s="12" t="n">
        <v>6</v>
      </c>
      <c r="D52" s="7" t="inlineStr">
        <is>
          <t>Proposta de barganha</t>
        </is>
      </c>
      <c r="E52" s="17" t="inlineStr">
        <is>
          <t>Uma voz ou figura oferece ajuda em troca de um favor.</t>
        </is>
      </c>
      <c r="F52" s="17" t="inlineStr">
        <is>
          <t>Aceitar, recusar, negociar os termos.</t>
        </is>
      </c>
      <c r="G52" s="17" t="inlineStr">
        <is>
          <t>Todo preço sobrenatural cobra juros.</t>
        </is>
      </c>
      <c r="H52" s="12" t="inlineStr">
        <is>
          <t>Qualquer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A89A"/>
    <outlinePr summaryBelow="1" summaryRight="1"/>
    <pageSetUpPr/>
  </sheetPr>
  <dimension ref="A1:R4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30" customWidth="1" min="4" max="4"/>
    <col width="7" customWidth="1" min="5" max="5"/>
    <col width="10" customWidth="1" min="6" max="6"/>
    <col width="24" customWidth="1" min="7" max="7"/>
    <col width="22" customWidth="1" min="8" max="8"/>
    <col width="9" customWidth="1" min="9" max="9"/>
    <col width="9" customWidth="1" min="10" max="10"/>
    <col width="9" customWidth="1" min="11" max="11"/>
    <col width="9" customWidth="1" min="12" max="12"/>
    <col width="46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B1" s="1" t="inlineStr">
        <is>
          <t>Criaturas do Continente (a partir do nosso bestiário)</t>
        </is>
      </c>
    </row>
    <row r="2">
      <c r="B2" s="2" t="inlineStr">
        <is>
          <t>Cada criatura de The Witcher usa uma ficha base de dados/bestiario/fantasia (ou um arquétipo do gerador de NPCs). Pesos por área são editáveis.</t>
        </is>
      </c>
    </row>
    <row r="4">
      <c r="I4" s="25" t="inlineStr">
        <is>
          <t>Peso por área</t>
        </is>
      </c>
      <c r="J4" s="4" t="n"/>
      <c r="K4" s="4" t="n"/>
      <c r="L4" s="5" t="n"/>
      <c r="N4" s="25" t="inlineStr">
        <is>
          <t>Sorteio atual (automático)</t>
        </is>
      </c>
      <c r="O4" s="4" t="n"/>
      <c r="P4" s="4" t="n"/>
      <c r="Q4" s="4" t="n"/>
      <c r="R4" s="5" t="n"/>
    </row>
    <row r="5">
      <c r="A5" s="11" t="inlineStr">
        <is>
          <t>Categoria</t>
        </is>
      </c>
      <c r="B5" s="11" t="inlineStr">
        <is>
          <t>Criatura (The Witcher)</t>
        </is>
      </c>
      <c r="C5" s="11" t="inlineStr">
        <is>
          <t>Ficha base</t>
        </is>
      </c>
      <c r="D5" s="11" t="inlineStr">
        <is>
          <t>Arquivo (bestiario/fantasia/)</t>
        </is>
      </c>
      <c r="E5" s="11" t="inlineStr">
        <is>
          <t>NP</t>
        </is>
      </c>
      <c r="F5" s="11" t="inlineStr">
        <is>
          <t>Atividade</t>
        </is>
      </c>
      <c r="G5" s="11" t="inlineStr">
        <is>
          <t>Terrenos</t>
        </is>
      </c>
      <c r="H5" s="11" t="inlineStr">
        <is>
          <t>Grupo típico</t>
        </is>
      </c>
      <c r="I5" s="11" t="inlineStr">
        <is>
          <t>Tranquila</t>
        </is>
      </c>
      <c r="J5" s="11" t="inlineStr">
        <is>
          <t>Média</t>
        </is>
      </c>
      <c r="K5" s="11" t="inlineStr">
        <is>
          <t>Perigosa</t>
        </is>
      </c>
      <c r="L5" s="11" t="inlineStr">
        <is>
          <t>Mortal</t>
        </is>
      </c>
      <c r="M5" s="11" t="inlineStr">
        <is>
          <t>Adaptação / como jogar</t>
        </is>
      </c>
      <c r="N5" s="11" t="inlineStr">
        <is>
          <t>Fator período</t>
        </is>
      </c>
      <c r="O5" s="11" t="inlineStr">
        <is>
          <t>Fator terreno</t>
        </is>
      </c>
      <c r="P5" s="11" t="inlineStr">
        <is>
          <t>Peso efetivo</t>
        </is>
      </c>
      <c r="Q5" s="11" t="inlineStr">
        <is>
          <t>Acumulado</t>
        </is>
      </c>
      <c r="R5" s="11" t="inlineStr">
        <is>
          <t>Chance agora</t>
        </is>
      </c>
    </row>
    <row r="6">
      <c r="A6" s="28" t="inlineStr">
        <is>
          <t>Humano</t>
        </is>
      </c>
      <c r="B6" s="7" t="inlineStr">
        <is>
          <t>Bandidos de estrada</t>
        </is>
      </c>
      <c r="C6" s="17" t="inlineStr">
        <is>
          <t>Arquétipo: Bandido de estrada</t>
        </is>
      </c>
      <c r="D6" s="29" t="inlineStr">
        <is>
          <t>Gerador de NPC</t>
        </is>
      </c>
      <c r="E6" s="12" t="inlineStr">
        <is>
          <t>3–5</t>
        </is>
      </c>
      <c r="F6" s="12" t="inlineStr">
        <is>
          <t>Diurna</t>
        </is>
      </c>
      <c r="G6" s="17" t="inlineStr">
        <is>
          <t>Estrada, Floresta</t>
        </is>
      </c>
      <c r="H6" s="17" t="inlineStr">
        <is>
          <t>3–6 capangas + chefe (NP+1)</t>
        </is>
      </c>
      <c r="I6" s="13" t="n">
        <v>6</v>
      </c>
      <c r="J6" s="13" t="n">
        <v>6</v>
      </c>
      <c r="K6" s="13" t="n">
        <v>5</v>
      </c>
      <c r="L6" s="13" t="n">
        <v>3</v>
      </c>
      <c r="M6" s="17" t="inlineStr">
        <is>
          <t>Negociam, blefam e fogem ao perder metade do bando.</t>
        </is>
      </c>
      <c r="N6" s="30">
        <f>INDEX(Ajustes!$C$28:$F$30,MATCH(F6,Ajustes!$B$28:$B$30,0),MATCH(Painel!$C$7,Ajustes!$C$27:$F$27,0))</f>
        <v/>
      </c>
      <c r="O6" s="30">
        <f>IF(OR(G6="Qualquer",ISNUMBER(SEARCH(Painel!$C$9,G6))),1,Ajustes!$C$31)</f>
        <v/>
      </c>
      <c r="P6" s="30">
        <f>IF(A6=Painel!$M$17,INDEX(I6:L6,MATCH(Painel!$C$6,$I$5:$L$5,0))*N6*O6,0)</f>
        <v/>
      </c>
      <c r="Q6" s="30">
        <f>SUM($P$6:P6)</f>
        <v/>
      </c>
      <c r="R6" s="31">
        <f>IF(MAX($Q$6:$Q$38)=0,0,P6/MAX($Q$6:$Q$38))</f>
        <v/>
      </c>
    </row>
    <row r="7">
      <c r="A7" s="28" t="inlineStr">
        <is>
          <t>Humano</t>
        </is>
      </c>
      <c r="B7" s="7" t="inlineStr">
        <is>
          <t>Desertores / mercenários</t>
        </is>
      </c>
      <c r="C7" s="17" t="inlineStr">
        <is>
          <t>Arquétipo: Soldado do reino</t>
        </is>
      </c>
      <c r="D7" s="29" t="inlineStr">
        <is>
          <t>Gerador de NPC</t>
        </is>
      </c>
      <c r="E7" s="12" t="inlineStr">
        <is>
          <t>4–6</t>
        </is>
      </c>
      <c r="F7" s="12" t="inlineStr">
        <is>
          <t>Qualquer</t>
        </is>
      </c>
      <c r="G7" s="17" t="inlineStr">
        <is>
          <t>Estrada, Floresta, Montanha</t>
        </is>
      </c>
      <c r="H7" s="17" t="inlineStr">
        <is>
          <t>2–5</t>
        </is>
      </c>
      <c r="I7" s="13" t="n">
        <v>2</v>
      </c>
      <c r="J7" s="13" t="n">
        <v>4</v>
      </c>
      <c r="K7" s="13" t="n">
        <v>5</v>
      </c>
      <c r="L7" s="13" t="n">
        <v>4</v>
      </c>
      <c r="M7" s="17" t="inlineStr">
        <is>
          <t>Famintos e com medo da forca; viram aliados por comida ou silêncio.</t>
        </is>
      </c>
      <c r="N7" s="30">
        <f>INDEX(Ajustes!$C$28:$F$30,MATCH(F7,Ajustes!$B$28:$B$30,0),MATCH(Painel!$C$7,Ajustes!$C$27:$F$27,0))</f>
        <v/>
      </c>
      <c r="O7" s="30">
        <f>IF(OR(G7="Qualquer",ISNUMBER(SEARCH(Painel!$C$9,G7))),1,Ajustes!$C$31)</f>
        <v/>
      </c>
      <c r="P7" s="30">
        <f>IF(A7=Painel!$M$17,INDEX(I7:L7,MATCH(Painel!$C$6,$I$5:$L$5,0))*N7*O7,0)</f>
        <v/>
      </c>
      <c r="Q7" s="30">
        <f>SUM($P$6:P7)</f>
        <v/>
      </c>
      <c r="R7" s="31">
        <f>IF(MAX($Q$6:$Q$38)=0,0,P7/MAX($Q$6:$Q$38))</f>
        <v/>
      </c>
    </row>
    <row r="8">
      <c r="A8" s="28" t="inlineStr">
        <is>
          <t>Humano</t>
        </is>
      </c>
      <c r="B8" s="7" t="inlineStr">
        <is>
          <t>Patrulha hostil (Nilfgaard ou reino rival)</t>
        </is>
      </c>
      <c r="C8" s="17" t="inlineStr">
        <is>
          <t>Arquétipo: Soldado do reino; oficial = Hobgoblin Capitão</t>
        </is>
      </c>
      <c r="D8" s="29" t="inlineStr">
        <is>
          <t>goblins/hobgoblin_capitao.json</t>
        </is>
      </c>
      <c r="E8" s="12" t="inlineStr">
        <is>
          <t>5–7</t>
        </is>
      </c>
      <c r="F8" s="12" t="inlineStr">
        <is>
          <t>Diurna</t>
        </is>
      </c>
      <c r="G8" s="17" t="inlineStr">
        <is>
          <t>Estrada</t>
        </is>
      </c>
      <c r="H8" s="17" t="inlineStr">
        <is>
          <t>4–8 + oficial</t>
        </is>
      </c>
      <c r="I8" s="13" t="n">
        <v>1</v>
      </c>
      <c r="J8" s="13" t="n">
        <v>2</v>
      </c>
      <c r="K8" s="13" t="n">
        <v>4</v>
      </c>
      <c r="L8" s="13" t="n">
        <v>2</v>
      </c>
      <c r="M8" s="17" t="inlineStr">
        <is>
          <t>Querem papéis, suborno ou um culpado. Lutar contra eles tem consequência política.</t>
        </is>
      </c>
      <c r="N8" s="30">
        <f>INDEX(Ajustes!$C$28:$F$30,MATCH(F8,Ajustes!$B$28:$B$30,0),MATCH(Painel!$C$7,Ajustes!$C$27:$F$27,0))</f>
        <v/>
      </c>
      <c r="O8" s="30">
        <f>IF(OR(G8="Qualquer",ISNUMBER(SEARCH(Painel!$C$9,G8))),1,Ajustes!$C$31)</f>
        <v/>
      </c>
      <c r="P8" s="30">
        <f>IF(A8=Painel!$M$17,INDEX(I8:L8,MATCH(Painel!$C$6,$I$5:$L$5,0))*N8*O8,0)</f>
        <v/>
      </c>
      <c r="Q8" s="30">
        <f>SUM($P$6:P8)</f>
        <v/>
      </c>
      <c r="R8" s="31">
        <f>IF(MAX($Q$6:$Q$38)=0,0,P8/MAX($Q$6:$Q$38))</f>
        <v/>
      </c>
    </row>
    <row r="9">
      <c r="A9" s="28" t="inlineStr">
        <is>
          <t>Humano</t>
        </is>
      </c>
      <c r="B9" s="7" t="inlineStr">
        <is>
          <t>Caçadores de bruxas</t>
        </is>
      </c>
      <c r="C9" s="17" t="inlineStr">
        <is>
          <t>Arquétipo: Guarda da cidade; líder = Soldado do reino</t>
        </is>
      </c>
      <c r="D9" s="29" t="inlineStr">
        <is>
          <t>Gerador de NPC</t>
        </is>
      </c>
      <c r="E9" s="12" t="inlineStr">
        <is>
          <t>4–6</t>
        </is>
      </c>
      <c r="F9" s="12" t="inlineStr">
        <is>
          <t>Diurna</t>
        </is>
      </c>
      <c r="G9" s="17" t="inlineStr">
        <is>
          <t>Estrada, Ruínas</t>
        </is>
      </c>
      <c r="H9" s="17" t="inlineStr">
        <is>
          <t>3–5</t>
        </is>
      </c>
      <c r="I9" s="13" t="n">
        <v>1</v>
      </c>
      <c r="J9" s="13" t="n">
        <v>2</v>
      </c>
      <c r="K9" s="13" t="n">
        <v>3</v>
      </c>
      <c r="L9" s="13" t="n">
        <v>2</v>
      </c>
      <c r="M9" s="17" t="inlineStr">
        <is>
          <t>Perseguem magos, não-humanos e mutantes — bruxos inclusos.</t>
        </is>
      </c>
      <c r="N9" s="30">
        <f>INDEX(Ajustes!$C$28:$F$30,MATCH(F9,Ajustes!$B$28:$B$30,0),MATCH(Painel!$C$7,Ajustes!$C$27:$F$27,0))</f>
        <v/>
      </c>
      <c r="O9" s="30">
        <f>IF(OR(G9="Qualquer",ISNUMBER(SEARCH(Painel!$C$9,G9))),1,Ajustes!$C$31)</f>
        <v/>
      </c>
      <c r="P9" s="30">
        <f>IF(A9=Painel!$M$17,INDEX(I9:L9,MATCH(Painel!$C$6,$I$5:$L$5,0))*N9*O9,0)</f>
        <v/>
      </c>
      <c r="Q9" s="30">
        <f>SUM($P$6:P9)</f>
        <v/>
      </c>
      <c r="R9" s="31">
        <f>IF(MAX($Q$6:$Q$38)=0,0,P9/MAX($Q$6:$Q$38))</f>
        <v/>
      </c>
    </row>
    <row r="10">
      <c r="A10" s="28" t="inlineStr">
        <is>
          <t>Humano</t>
        </is>
      </c>
      <c r="B10" s="7" t="inlineStr">
        <is>
          <t>Caçador de recompensas / assassino</t>
        </is>
      </c>
      <c r="C10" s="17" t="inlineStr">
        <is>
          <t>Arquétipo: Assassino de aluguel</t>
        </is>
      </c>
      <c r="D10" s="29" t="inlineStr">
        <is>
          <t>Gerador de NPC</t>
        </is>
      </c>
      <c r="E10" s="12" t="inlineStr">
        <is>
          <t>6–8</t>
        </is>
      </c>
      <c r="F10" s="12" t="inlineStr">
        <is>
          <t>Noturna</t>
        </is>
      </c>
      <c r="G10" s="17" t="inlineStr">
        <is>
          <t>Qualquer</t>
        </is>
      </c>
      <c r="H10" s="17" t="inlineStr">
        <is>
          <t>1–2</t>
        </is>
      </c>
      <c r="I10" s="13" t="n">
        <v>1</v>
      </c>
      <c r="J10" s="13" t="n">
        <v>1</v>
      </c>
      <c r="K10" s="13" t="n">
        <v>2</v>
      </c>
      <c r="L10" s="13" t="n">
        <v>2</v>
      </c>
      <c r="M10" s="17" t="inlineStr">
        <is>
          <t>Alguém pagou por um nome. Ataca no acampamento.</t>
        </is>
      </c>
      <c r="N10" s="30">
        <f>INDEX(Ajustes!$C$28:$F$30,MATCH(F10,Ajustes!$B$28:$B$30,0),MATCH(Painel!$C$7,Ajustes!$C$27:$F$27,0))</f>
        <v/>
      </c>
      <c r="O10" s="30">
        <f>IF(OR(G10="Qualquer",ISNUMBER(SEARCH(Painel!$C$9,G10))),1,Ajustes!$C$31)</f>
        <v/>
      </c>
      <c r="P10" s="30">
        <f>IF(A10=Painel!$M$17,INDEX(I10:L10,MATCH(Painel!$C$6,$I$5:$L$5,0))*N10*O10,0)</f>
        <v/>
      </c>
      <c r="Q10" s="30">
        <f>SUM($P$6:P10)</f>
        <v/>
      </c>
      <c r="R10" s="31">
        <f>IF(MAX($Q$6:$Q$38)=0,0,P10/MAX($Q$6:$Q$38))</f>
        <v/>
      </c>
    </row>
    <row r="11">
      <c r="A11" s="28" t="inlineStr">
        <is>
          <t>Humano</t>
        </is>
      </c>
      <c r="B11" s="7" t="inlineStr">
        <is>
          <t>Cultistas</t>
        </is>
      </c>
      <c r="C11" s="17" t="inlineStr">
        <is>
          <t>Arquétipo: Cultista</t>
        </is>
      </c>
      <c r="D11" s="29" t="inlineStr">
        <is>
          <t>Gerador de NPC</t>
        </is>
      </c>
      <c r="E11" s="12" t="inlineStr">
        <is>
          <t>3–6</t>
        </is>
      </c>
      <c r="F11" s="12" t="inlineStr">
        <is>
          <t>Noturna</t>
        </is>
      </c>
      <c r="G11" s="17" t="inlineStr">
        <is>
          <t>Floresta, Ruínas, Pântano</t>
        </is>
      </c>
      <c r="H11" s="17" t="inlineStr">
        <is>
          <t>3–8</t>
        </is>
      </c>
      <c r="I11" s="13" t="n">
        <v>0</v>
      </c>
      <c r="J11" s="13" t="n">
        <v>1</v>
      </c>
      <c r="K11" s="13" t="n">
        <v>2</v>
      </c>
      <c r="L11" s="13" t="n">
        <v>4</v>
      </c>
      <c r="M11" s="17" t="inlineStr">
        <is>
          <t>Ritual em andamento; podem servir a um leshen ou demônio.</t>
        </is>
      </c>
      <c r="N11" s="30">
        <f>INDEX(Ajustes!$C$28:$F$30,MATCH(F11,Ajustes!$B$28:$B$30,0),MATCH(Painel!$C$7,Ajustes!$C$27:$F$27,0))</f>
        <v/>
      </c>
      <c r="O11" s="30">
        <f>IF(OR(G11="Qualquer",ISNUMBER(SEARCH(Painel!$C$9,G11))),1,Ajustes!$C$31)</f>
        <v/>
      </c>
      <c r="P11" s="30">
        <f>IF(A11=Painel!$M$17,INDEX(I11:L11,MATCH(Painel!$C$6,$I$5:$L$5,0))*N11*O11,0)</f>
        <v/>
      </c>
      <c r="Q11" s="30">
        <f>SUM($P$6:P11)</f>
        <v/>
      </c>
      <c r="R11" s="31">
        <f>IF(MAX($Q$6:$Q$38)=0,0,P11/MAX($Q$6:$Q$38))</f>
        <v/>
      </c>
    </row>
    <row r="12">
      <c r="A12" s="28" t="inlineStr">
        <is>
          <t>Humano</t>
        </is>
      </c>
      <c r="B12" s="7" t="inlineStr">
        <is>
          <t>Mago renegado</t>
        </is>
      </c>
      <c r="C12" s="17" t="inlineStr">
        <is>
          <t>Hobgoblin Conjurador de Guerra (reskin humano)</t>
        </is>
      </c>
      <c r="D12" s="29" t="inlineStr">
        <is>
          <t>goblins/hobgoblin_conjurador.json</t>
        </is>
      </c>
      <c r="E12" s="12" t="inlineStr">
        <is>
          <t>6</t>
        </is>
      </c>
      <c r="F12" s="12" t="inlineStr">
        <is>
          <t>Qualquer</t>
        </is>
      </c>
      <c r="G12" s="17" t="inlineStr">
        <is>
          <t>Ruínas, Montanha</t>
        </is>
      </c>
      <c r="H12" s="17" t="inlineStr">
        <is>
          <t>1 + 1–3 guarda-costas</t>
        </is>
      </c>
      <c r="I12" s="13" t="n">
        <v>0</v>
      </c>
      <c r="J12" s="13" t="n">
        <v>0</v>
      </c>
      <c r="K12" s="13" t="n">
        <v>1</v>
      </c>
      <c r="L12" s="13" t="n">
        <v>2</v>
      </c>
      <c r="M12" s="17" t="inlineStr">
        <is>
          <t>Fugitivo da Irmandade. Troque o fogo de guerra por magia variada.</t>
        </is>
      </c>
      <c r="N12" s="30">
        <f>INDEX(Ajustes!$C$28:$F$30,MATCH(F12,Ajustes!$B$28:$B$30,0),MATCH(Painel!$C$7,Ajustes!$C$27:$F$27,0))</f>
        <v/>
      </c>
      <c r="O12" s="30">
        <f>IF(OR(G12="Qualquer",ISNUMBER(SEARCH(Painel!$C$9,G12))),1,Ajustes!$C$31)</f>
        <v/>
      </c>
      <c r="P12" s="30">
        <f>IF(A12=Painel!$M$17,INDEX(I12:L12,MATCH(Painel!$C$6,$I$5:$L$5,0))*N12*O12,0)</f>
        <v/>
      </c>
      <c r="Q12" s="30">
        <f>SUM($P$6:P12)</f>
        <v/>
      </c>
      <c r="R12" s="31">
        <f>IF(MAX($Q$6:$Q$38)=0,0,P12/MAX($Q$6:$Q$38))</f>
        <v/>
      </c>
    </row>
    <row r="13">
      <c r="A13" s="32" t="inlineStr">
        <is>
          <t>Fera</t>
        </is>
      </c>
      <c r="B13" s="7" t="inlineStr">
        <is>
          <t>Lobos</t>
        </is>
      </c>
      <c r="C13" s="17" t="inlineStr">
        <is>
          <t>Lobo</t>
        </is>
      </c>
      <c r="D13" s="29" t="inlineStr">
        <is>
          <t>feras/lobo.json</t>
        </is>
      </c>
      <c r="E13" s="12" t="inlineStr">
        <is>
          <t>3</t>
        </is>
      </c>
      <c r="F13" s="12" t="inlineStr">
        <is>
          <t>Noturna</t>
        </is>
      </c>
      <c r="G13" s="17" t="inlineStr">
        <is>
          <t>Floresta, Montanha, Estrada</t>
        </is>
      </c>
      <c r="H13" s="17" t="inlineStr">
        <is>
          <t>Matilha de 3–6</t>
        </is>
      </c>
      <c r="I13" s="13" t="n">
        <v>6</v>
      </c>
      <c r="J13" s="13" t="n">
        <v>6</v>
      </c>
      <c r="K13" s="13" t="n">
        <v>5</v>
      </c>
      <c r="L13" s="13" t="n">
        <v>4</v>
      </c>
      <c r="M13" s="17" t="inlineStr">
        <is>
          <t>Testam o grupo; fogem com fogo ou se o mais forte cair.</t>
        </is>
      </c>
      <c r="N13" s="30">
        <f>INDEX(Ajustes!$C$28:$F$30,MATCH(F13,Ajustes!$B$28:$B$30,0),MATCH(Painel!$C$7,Ajustes!$C$27:$F$27,0))</f>
        <v/>
      </c>
      <c r="O13" s="30">
        <f>IF(OR(G13="Qualquer",ISNUMBER(SEARCH(Painel!$C$9,G13))),1,Ajustes!$C$31)</f>
        <v/>
      </c>
      <c r="P13" s="30">
        <f>IF(A13=Painel!$M$17,INDEX(I13:L13,MATCH(Painel!$C$6,$I$5:$L$5,0))*N13*O13,0)</f>
        <v/>
      </c>
      <c r="Q13" s="30">
        <f>SUM($P$6:P13)</f>
        <v/>
      </c>
      <c r="R13" s="31">
        <f>IF(MAX($Q$6:$Q$38)=0,0,P13/MAX($Q$6:$Q$38))</f>
        <v/>
      </c>
    </row>
    <row r="14">
      <c r="A14" s="32" t="inlineStr">
        <is>
          <t>Fera</t>
        </is>
      </c>
      <c r="B14" s="7" t="inlineStr">
        <is>
          <t>Warg (lobo alfa)</t>
        </is>
      </c>
      <c r="C14" s="17" t="inlineStr">
        <is>
          <t>Lobo Atroz</t>
        </is>
      </c>
      <c r="D14" s="29" t="inlineStr">
        <is>
          <t>feras/lobo_atroz.json</t>
        </is>
      </c>
      <c r="E14" s="12" t="inlineStr">
        <is>
          <t>5</t>
        </is>
      </c>
      <c r="F14" s="12" t="inlineStr">
        <is>
          <t>Noturna</t>
        </is>
      </c>
      <c r="G14" s="17" t="inlineStr">
        <is>
          <t>Floresta, Montanha</t>
        </is>
      </c>
      <c r="H14" s="17" t="inlineStr">
        <is>
          <t>1 + 2–4 lobos</t>
        </is>
      </c>
      <c r="I14" s="13" t="n">
        <v>0</v>
      </c>
      <c r="J14" s="13" t="n">
        <v>1</v>
      </c>
      <c r="K14" s="13" t="n">
        <v>3</v>
      </c>
      <c r="L14" s="13" t="n">
        <v>4</v>
      </c>
      <c r="M14" s="17" t="inlineStr">
        <is>
          <t>Lidera a matilha; esperto demais para um lobo comum.</t>
        </is>
      </c>
      <c r="N14" s="30">
        <f>INDEX(Ajustes!$C$28:$F$30,MATCH(F14,Ajustes!$B$28:$B$30,0),MATCH(Painel!$C$7,Ajustes!$C$27:$F$27,0))</f>
        <v/>
      </c>
      <c r="O14" s="30">
        <f>IF(OR(G14="Qualquer",ISNUMBER(SEARCH(Painel!$C$9,G14))),1,Ajustes!$C$31)</f>
        <v/>
      </c>
      <c r="P14" s="30">
        <f>IF(A14=Painel!$M$17,INDEX(I14:L14,MATCH(Painel!$C$6,$I$5:$L$5,0))*N14*O14,0)</f>
        <v/>
      </c>
      <c r="Q14" s="30">
        <f>SUM($P$6:P14)</f>
        <v/>
      </c>
      <c r="R14" s="31">
        <f>IF(MAX($Q$6:$Q$38)=0,0,P14/MAX($Q$6:$Q$38))</f>
        <v/>
      </c>
    </row>
    <row r="15">
      <c r="A15" s="32" t="inlineStr">
        <is>
          <t>Fera</t>
        </is>
      </c>
      <c r="B15" s="7" t="inlineStr">
        <is>
          <t>Urso</t>
        </is>
      </c>
      <c r="C15" s="17" t="inlineStr">
        <is>
          <t>Urso Marrom</t>
        </is>
      </c>
      <c r="D15" s="29" t="inlineStr">
        <is>
          <t>feras/urso.json</t>
        </is>
      </c>
      <c r="E15" s="12" t="inlineStr">
        <is>
          <t>6</t>
        </is>
      </c>
      <c r="F15" s="12" t="inlineStr">
        <is>
          <t>Diurna</t>
        </is>
      </c>
      <c r="G15" s="17" t="inlineStr">
        <is>
          <t>Floresta, Montanha, Pântano</t>
        </is>
      </c>
      <c r="H15" s="17" t="inlineStr">
        <is>
          <t>1</t>
        </is>
      </c>
      <c r="I15" s="13" t="n">
        <v>2</v>
      </c>
      <c r="J15" s="13" t="n">
        <v>3</v>
      </c>
      <c r="K15" s="13" t="n">
        <v>3</v>
      </c>
      <c r="L15" s="13" t="n">
        <v>3</v>
      </c>
      <c r="M15" s="17" t="inlineStr">
        <is>
          <t>Defende território ou filhotes; recuar quase sempre resolve.</t>
        </is>
      </c>
      <c r="N15" s="30">
        <f>INDEX(Ajustes!$C$28:$F$30,MATCH(F15,Ajustes!$B$28:$B$30,0),MATCH(Painel!$C$7,Ajustes!$C$27:$F$27,0))</f>
        <v/>
      </c>
      <c r="O15" s="30">
        <f>IF(OR(G15="Qualquer",ISNUMBER(SEARCH(Painel!$C$9,G15))),1,Ajustes!$C$31)</f>
        <v/>
      </c>
      <c r="P15" s="30">
        <f>IF(A15=Painel!$M$17,INDEX(I15:L15,MATCH(Painel!$C$6,$I$5:$L$5,0))*N15*O15,0)</f>
        <v/>
      </c>
      <c r="Q15" s="30">
        <f>SUM($P$6:P15)</f>
        <v/>
      </c>
      <c r="R15" s="31">
        <f>IF(MAX($Q$6:$Q$38)=0,0,P15/MAX($Q$6:$Q$38))</f>
        <v/>
      </c>
    </row>
    <row r="16">
      <c r="A16" s="33" t="inlineStr">
        <is>
          <t>Monstro</t>
        </is>
      </c>
      <c r="B16" s="7" t="inlineStr">
        <is>
          <t>Afogadores</t>
        </is>
      </c>
      <c r="C16" s="17" t="inlineStr">
        <is>
          <t>Zumbi (+ Natação, + Velocidade 1, sem lentidão)</t>
        </is>
      </c>
      <c r="D16" s="29" t="inlineStr">
        <is>
          <t>mortos_vivos/zumbi.json</t>
        </is>
      </c>
      <c r="E16" s="12" t="inlineStr">
        <is>
          <t>2–3</t>
        </is>
      </c>
      <c r="F16" s="12" t="inlineStr">
        <is>
          <t>Noturna</t>
        </is>
      </c>
      <c r="G16" s="17" t="inlineStr">
        <is>
          <t>Pântano</t>
        </is>
      </c>
      <c r="H16" s="17" t="inlineStr">
        <is>
          <t>2–5</t>
        </is>
      </c>
      <c r="I16" s="13" t="n">
        <v>3</v>
      </c>
      <c r="J16" s="13" t="n">
        <v>5</v>
      </c>
      <c r="K16" s="13" t="n">
        <v>5</v>
      </c>
      <c r="L16" s="13" t="n">
        <v>4</v>
      </c>
      <c r="M16" s="17" t="inlineStr">
        <is>
          <t>Só perto de água. Longe dela, troque por Carniçais.</t>
        </is>
      </c>
      <c r="N16" s="30">
        <f>INDEX(Ajustes!$C$28:$F$30,MATCH(F16,Ajustes!$B$28:$B$30,0),MATCH(Painel!$C$7,Ajustes!$C$27:$F$27,0))</f>
        <v/>
      </c>
      <c r="O16" s="30">
        <f>IF(OR(G16="Qualquer",ISNUMBER(SEARCH(Painel!$C$9,G16))),1,Ajustes!$C$31)</f>
        <v/>
      </c>
      <c r="P16" s="30">
        <f>IF(A16=Painel!$M$17,INDEX(I16:L16,MATCH(Painel!$C$6,$I$5:$L$5,0))*N16*O16,0)</f>
        <v/>
      </c>
      <c r="Q16" s="30">
        <f>SUM($P$6:P16)</f>
        <v/>
      </c>
      <c r="R16" s="31">
        <f>IF(MAX($Q$6:$Q$38)=0,0,P16/MAX($Q$6:$Q$38))</f>
        <v/>
      </c>
    </row>
    <row r="17">
      <c r="A17" s="33" t="inlineStr">
        <is>
          <t>Monstro</t>
        </is>
      </c>
      <c r="B17" s="7" t="inlineStr">
        <is>
          <t>Nekkers</t>
        </is>
      </c>
      <c r="C17" s="17" t="inlineStr">
        <is>
          <t>Goblin Saqueador (guerreiros: Goblin Guerreiro)</t>
        </is>
      </c>
      <c r="D17" s="29" t="inlineStr">
        <is>
          <t>goblins/goblin_saqueador.json</t>
        </is>
      </c>
      <c r="E17" s="12" t="inlineStr">
        <is>
          <t>2–3</t>
        </is>
      </c>
      <c r="F17" s="12" t="inlineStr">
        <is>
          <t>Noturna</t>
        </is>
      </c>
      <c r="G17" s="17" t="inlineStr">
        <is>
          <t>Floresta, Montanha</t>
        </is>
      </c>
      <c r="H17" s="17" t="inlineStr">
        <is>
          <t>4–8</t>
        </is>
      </c>
      <c r="I17" s="13" t="n">
        <v>2</v>
      </c>
      <c r="J17" s="13" t="n">
        <v>4</v>
      </c>
      <c r="K17" s="13" t="n">
        <v>5</v>
      </c>
      <c r="L17" s="13" t="n">
        <v>4</v>
      </c>
      <c r="M17" s="17" t="inlineStr">
        <is>
          <t>Saem de túneis, atacam em bando e fogem. Destruir o ninho resolve.</t>
        </is>
      </c>
      <c r="N17" s="30">
        <f>INDEX(Ajustes!$C$28:$F$30,MATCH(F17,Ajustes!$B$28:$B$30,0),MATCH(Painel!$C$7,Ajustes!$C$27:$F$27,0))</f>
        <v/>
      </c>
      <c r="O17" s="30">
        <f>IF(OR(G17="Qualquer",ISNUMBER(SEARCH(Painel!$C$9,G17))),1,Ajustes!$C$31)</f>
        <v/>
      </c>
      <c r="P17" s="30">
        <f>IF(A17=Painel!$M$17,INDEX(I17:L17,MATCH(Painel!$C$6,$I$5:$L$5,0))*N17*O17,0)</f>
        <v/>
      </c>
      <c r="Q17" s="30">
        <f>SUM($P$6:P17)</f>
        <v/>
      </c>
      <c r="R17" s="31">
        <f>IF(MAX($Q$6:$Q$38)=0,0,P17/MAX($Q$6:$Q$38))</f>
        <v/>
      </c>
    </row>
    <row r="18">
      <c r="A18" s="33" t="inlineStr">
        <is>
          <t>Monstro</t>
        </is>
      </c>
      <c r="B18" s="7" t="inlineStr">
        <is>
          <t>Ninho de nekkers (Pai Nekker)</t>
        </is>
      </c>
      <c r="C18" s="17" t="inlineStr">
        <is>
          <t>Goblin Chefe</t>
        </is>
      </c>
      <c r="D18" s="29" t="inlineStr">
        <is>
          <t>goblins/goblin_chefe.json</t>
        </is>
      </c>
      <c r="E18" s="12" t="inlineStr">
        <is>
          <t>4</t>
        </is>
      </c>
      <c r="F18" s="12" t="inlineStr">
        <is>
          <t>Noturna</t>
        </is>
      </c>
      <c r="G18" s="17" t="inlineStr">
        <is>
          <t>Floresta</t>
        </is>
      </c>
      <c r="H18" s="17" t="inlineStr">
        <is>
          <t>1 + 4–8 nekkers</t>
        </is>
      </c>
      <c r="I18" s="13" t="n">
        <v>0</v>
      </c>
      <c r="J18" s="13" t="n">
        <v>1</v>
      </c>
      <c r="K18" s="13" t="n">
        <v>2</v>
      </c>
      <c r="L18" s="13" t="n">
        <v>3</v>
      </c>
      <c r="M18" s="17" t="inlineStr">
        <is>
          <t>O chefe do ninho; selar os buracos com bomba encerra o problema.</t>
        </is>
      </c>
      <c r="N18" s="30">
        <f>INDEX(Ajustes!$C$28:$F$30,MATCH(F18,Ajustes!$B$28:$B$30,0),MATCH(Painel!$C$7,Ajustes!$C$27:$F$27,0))</f>
        <v/>
      </c>
      <c r="O18" s="30">
        <f>IF(OR(G18="Qualquer",ISNUMBER(SEARCH(Painel!$C$9,G18))),1,Ajustes!$C$31)</f>
        <v/>
      </c>
      <c r="P18" s="30">
        <f>IF(A18=Painel!$M$17,INDEX(I18:L18,MATCH(Painel!$C$6,$I$5:$L$5,0))*N18*O18,0)</f>
        <v/>
      </c>
      <c r="Q18" s="30">
        <f>SUM($P$6:P18)</f>
        <v/>
      </c>
      <c r="R18" s="31">
        <f>IF(MAX($Q$6:$Q$38)=0,0,P18/MAX($Q$6:$Q$38))</f>
        <v/>
      </c>
    </row>
    <row r="19">
      <c r="A19" s="33" t="inlineStr">
        <is>
          <t>Monstro</t>
        </is>
      </c>
      <c r="B19" s="7" t="inlineStr">
        <is>
          <t>Carniçais</t>
        </is>
      </c>
      <c r="C19" s="17" t="inlineStr">
        <is>
          <t>Carniçal</t>
        </is>
      </c>
      <c r="D19" s="29" t="inlineStr">
        <is>
          <t>mortos_vivos/carnical.json</t>
        </is>
      </c>
      <c r="E19" s="12" t="inlineStr">
        <is>
          <t>4</t>
        </is>
      </c>
      <c r="F19" s="12" t="inlineStr">
        <is>
          <t>Noturna</t>
        </is>
      </c>
      <c r="G19" s="17" t="inlineStr">
        <is>
          <t>Ruínas, Estrada, Floresta</t>
        </is>
      </c>
      <c r="H19" s="17" t="inlineStr">
        <is>
          <t>2–4</t>
        </is>
      </c>
      <c r="I19" s="13" t="n">
        <v>3</v>
      </c>
      <c r="J19" s="13" t="n">
        <v>5</v>
      </c>
      <c r="K19" s="13" t="n">
        <v>5</v>
      </c>
      <c r="L19" s="13" t="n">
        <v>4</v>
      </c>
      <c r="M19" s="17" t="inlineStr">
        <is>
          <t>Comem cadáveres; aparecem onde houve batalha ou peste.</t>
        </is>
      </c>
      <c r="N19" s="30">
        <f>INDEX(Ajustes!$C$28:$F$30,MATCH(F19,Ajustes!$B$28:$B$30,0),MATCH(Painel!$C$7,Ajustes!$C$27:$F$27,0))</f>
        <v/>
      </c>
      <c r="O19" s="30">
        <f>IF(OR(G19="Qualquer",ISNUMBER(SEARCH(Painel!$C$9,G19))),1,Ajustes!$C$31)</f>
        <v/>
      </c>
      <c r="P19" s="30">
        <f>IF(A19=Painel!$M$17,INDEX(I19:L19,MATCH(Painel!$C$6,$I$5:$L$5,0))*N19*O19,0)</f>
        <v/>
      </c>
      <c r="Q19" s="30">
        <f>SUM($P$6:P19)</f>
        <v/>
      </c>
      <c r="R19" s="31">
        <f>IF(MAX($Q$6:$Q$38)=0,0,P19/MAX($Q$6:$Q$38))</f>
        <v/>
      </c>
    </row>
    <row r="20">
      <c r="A20" s="33" t="inlineStr">
        <is>
          <t>Monstro</t>
        </is>
      </c>
      <c r="B20" s="7" t="inlineStr">
        <is>
          <t>Alghoul</t>
        </is>
      </c>
      <c r="C20" s="17" t="inlineStr">
        <is>
          <t>Carniçal Darakhul (sem armas e armadura; garras e espinhos)</t>
        </is>
      </c>
      <c r="D20" s="29" t="inlineStr">
        <is>
          <t>mortos_vivos/carnical_darakhul.json</t>
        </is>
      </c>
      <c r="E20" s="12" t="inlineStr">
        <is>
          <t>6</t>
        </is>
      </c>
      <c r="F20" s="12" t="inlineStr">
        <is>
          <t>Noturna</t>
        </is>
      </c>
      <c r="G20" s="17" t="inlineStr">
        <is>
          <t>Ruínas, Estrada</t>
        </is>
      </c>
      <c r="H20" s="17" t="inlineStr">
        <is>
          <t>1 + 2–4 carniçais</t>
        </is>
      </c>
      <c r="I20" s="13" t="n">
        <v>0</v>
      </c>
      <c r="J20" s="13" t="n">
        <v>1</v>
      </c>
      <c r="K20" s="13" t="n">
        <v>3</v>
      </c>
      <c r="L20" s="13" t="n">
        <v>3</v>
      </c>
      <c r="M20" s="17" t="inlineStr">
        <is>
          <t>Líder do bando de carniçais; mais esperto e agressivo.</t>
        </is>
      </c>
      <c r="N20" s="30">
        <f>INDEX(Ajustes!$C$28:$F$30,MATCH(F20,Ajustes!$B$28:$B$30,0),MATCH(Painel!$C$7,Ajustes!$C$27:$F$27,0))</f>
        <v/>
      </c>
      <c r="O20" s="30">
        <f>IF(OR(G20="Qualquer",ISNUMBER(SEARCH(Painel!$C$9,G20))),1,Ajustes!$C$31)</f>
        <v/>
      </c>
      <c r="P20" s="30">
        <f>IF(A20=Painel!$M$17,INDEX(I20:L20,MATCH(Painel!$C$6,$I$5:$L$5,0))*N20*O20,0)</f>
        <v/>
      </c>
      <c r="Q20" s="30">
        <f>SUM($P$6:P20)</f>
        <v/>
      </c>
      <c r="R20" s="31">
        <f>IF(MAX($Q$6:$Q$38)=0,0,P20/MAX($Q$6:$Q$38))</f>
        <v/>
      </c>
    </row>
    <row r="21">
      <c r="A21" s="33" t="inlineStr">
        <is>
          <t>Monstro</t>
        </is>
      </c>
      <c r="B21" s="7" t="inlineStr">
        <is>
          <t>Lobisomem</t>
        </is>
      </c>
      <c r="C21" s="17" t="inlineStr">
        <is>
          <t>Bugbear Caçador (+ Regeneração; dano reduzido exceto prata)</t>
        </is>
      </c>
      <c r="D21" s="29" t="inlineStr">
        <is>
          <t>goblins/bugbear.json</t>
        </is>
      </c>
      <c r="E21" s="12" t="inlineStr">
        <is>
          <t>4–5</t>
        </is>
      </c>
      <c r="F21" s="12" t="inlineStr">
        <is>
          <t>Noturna</t>
        </is>
      </c>
      <c r="G21" s="17" t="inlineStr">
        <is>
          <t>Floresta</t>
        </is>
      </c>
      <c r="H21" s="17" t="inlineStr">
        <is>
          <t>1</t>
        </is>
      </c>
      <c r="I21" s="13" t="n">
        <v>0</v>
      </c>
      <c r="J21" s="13" t="n">
        <v>1</v>
      </c>
      <c r="K21" s="13" t="n">
        <v>2</v>
      </c>
      <c r="L21" s="13" t="n">
        <v>2</v>
      </c>
      <c r="M21" s="17" t="inlineStr">
        <is>
          <t>Amaldiçoado; de dia é humano. Ótimo gancho de missão.</t>
        </is>
      </c>
      <c r="N21" s="30">
        <f>INDEX(Ajustes!$C$28:$F$30,MATCH(F21,Ajustes!$B$28:$B$30,0),MATCH(Painel!$C$7,Ajustes!$C$27:$F$27,0))</f>
        <v/>
      </c>
      <c r="O21" s="30">
        <f>IF(OR(G21="Qualquer",ISNUMBER(SEARCH(Painel!$C$9,G21))),1,Ajustes!$C$31)</f>
        <v/>
      </c>
      <c r="P21" s="30">
        <f>IF(A21=Painel!$M$17,INDEX(I21:L21,MATCH(Painel!$C$6,$I$5:$L$5,0))*N21*O21,0)</f>
        <v/>
      </c>
      <c r="Q21" s="30">
        <f>SUM($P$6:P21)</f>
        <v/>
      </c>
      <c r="R21" s="31">
        <f>IF(MAX($Q$6:$Q$38)=0,0,P21/MAX($Q$6:$Q$38))</f>
        <v/>
      </c>
    </row>
    <row r="22">
      <c r="A22" s="33" t="inlineStr">
        <is>
          <t>Monstro</t>
        </is>
      </c>
      <c r="B22" s="7" t="inlineStr">
        <is>
          <t>Troll de pedra</t>
        </is>
      </c>
      <c r="C22" s="17" t="inlineStr">
        <is>
          <t>Troll</t>
        </is>
      </c>
      <c r="D22" s="29" t="inlineStr">
        <is>
          <t>monstruosidades/troll.json</t>
        </is>
      </c>
      <c r="E22" s="12" t="inlineStr">
        <is>
          <t>7</t>
        </is>
      </c>
      <c r="F22" s="12" t="inlineStr">
        <is>
          <t>Qualquer</t>
        </is>
      </c>
      <c r="G22" s="17" t="inlineStr">
        <is>
          <t>Montanha, Ruínas</t>
        </is>
      </c>
      <c r="H22" s="17" t="inlineStr">
        <is>
          <t>1</t>
        </is>
      </c>
      <c r="I22" s="13" t="n">
        <v>0</v>
      </c>
      <c r="J22" s="13" t="n">
        <v>1</v>
      </c>
      <c r="K22" s="13" t="n">
        <v>2</v>
      </c>
      <c r="L22" s="13" t="n">
        <v>3</v>
      </c>
      <c r="M22" s="17" t="inlineStr">
        <is>
          <t>Fala, cobra pedágio em pontes, adora cerveja. Nem todo troll é hostil.</t>
        </is>
      </c>
      <c r="N22" s="30">
        <f>INDEX(Ajustes!$C$28:$F$30,MATCH(F22,Ajustes!$B$28:$B$30,0),MATCH(Painel!$C$7,Ajustes!$C$27:$F$27,0))</f>
        <v/>
      </c>
      <c r="O22" s="30">
        <f>IF(OR(G22="Qualquer",ISNUMBER(SEARCH(Painel!$C$9,G22))),1,Ajustes!$C$31)</f>
        <v/>
      </c>
      <c r="P22" s="30">
        <f>IF(A22=Painel!$M$17,INDEX(I22:L22,MATCH(Painel!$C$6,$I$5:$L$5,0))*N22*O22,0)</f>
        <v/>
      </c>
      <c r="Q22" s="30">
        <f>SUM($P$6:P22)</f>
        <v/>
      </c>
      <c r="R22" s="31">
        <f>IF(MAX($Q$6:$Q$38)=0,0,P22/MAX($Q$6:$Q$38))</f>
        <v/>
      </c>
    </row>
    <row r="23">
      <c r="A23" s="33" t="inlineStr">
        <is>
          <t>Monstro</t>
        </is>
      </c>
      <c r="B23" s="7" t="inlineStr">
        <is>
          <t>Ogroide (ciclope jovem / ogro)</t>
        </is>
      </c>
      <c r="C23" s="17" t="inlineStr">
        <is>
          <t>Ogro</t>
        </is>
      </c>
      <c r="D23" s="29" t="inlineStr">
        <is>
          <t>monstruosidades/ogro.json</t>
        </is>
      </c>
      <c r="E23" s="12" t="inlineStr">
        <is>
          <t>5</t>
        </is>
      </c>
      <c r="F23" s="12" t="inlineStr">
        <is>
          <t>Qualquer</t>
        </is>
      </c>
      <c r="G23" s="17" t="inlineStr">
        <is>
          <t>Montanha, Pântano, Floresta</t>
        </is>
      </c>
      <c r="H23" s="17" t="inlineStr">
        <is>
          <t>1</t>
        </is>
      </c>
      <c r="I23" s="13" t="n">
        <v>0</v>
      </c>
      <c r="J23" s="13" t="n">
        <v>1</v>
      </c>
      <c r="K23" s="13" t="n">
        <v>2</v>
      </c>
      <c r="L23" s="13" t="n">
        <v>2</v>
      </c>
      <c r="M23" s="17" t="inlineStr">
        <is>
          <t>Burro, guloso e territorial.</t>
        </is>
      </c>
      <c r="N23" s="30">
        <f>INDEX(Ajustes!$C$28:$F$30,MATCH(F23,Ajustes!$B$28:$B$30,0),MATCH(Painel!$C$7,Ajustes!$C$27:$F$27,0))</f>
        <v/>
      </c>
      <c r="O23" s="30">
        <f>IF(OR(G23="Qualquer",ISNUMBER(SEARCH(Painel!$C$9,G23))),1,Ajustes!$C$31)</f>
        <v/>
      </c>
      <c r="P23" s="30">
        <f>IF(A23=Painel!$M$17,INDEX(I23:L23,MATCH(Painel!$C$6,$I$5:$L$5,0))*N23*O23,0)</f>
        <v/>
      </c>
      <c r="Q23" s="30">
        <f>SUM($P$6:P23)</f>
        <v/>
      </c>
      <c r="R23" s="31">
        <f>IF(MAX($Q$6:$Q$38)=0,0,P23/MAX($Q$6:$Q$38))</f>
        <v/>
      </c>
    </row>
    <row r="24">
      <c r="A24" s="33" t="inlineStr">
        <is>
          <t>Monstro</t>
        </is>
      </c>
      <c r="B24" s="7" t="inlineStr">
        <is>
          <t>Cocatriz</t>
        </is>
      </c>
      <c r="C24" s="17" t="inlineStr">
        <is>
          <t>Basilisco (troque a petrificação por veneno)</t>
        </is>
      </c>
      <c r="D24" s="29" t="inlineStr">
        <is>
          <t>monstruosidades/basilisco.json</t>
        </is>
      </c>
      <c r="E24" s="12" t="inlineStr">
        <is>
          <t>5</t>
        </is>
      </c>
      <c r="F24" s="12" t="inlineStr">
        <is>
          <t>Diurna</t>
        </is>
      </c>
      <c r="G24" s="17" t="inlineStr">
        <is>
          <t>Ruínas, Montanha</t>
        </is>
      </c>
      <c r="H24" s="17" t="inlineStr">
        <is>
          <t>1</t>
        </is>
      </c>
      <c r="I24" s="13" t="n">
        <v>0</v>
      </c>
      <c r="J24" s="13" t="n">
        <v>0</v>
      </c>
      <c r="K24" s="13" t="n">
        <v>2</v>
      </c>
      <c r="L24" s="13" t="n">
        <v>2</v>
      </c>
      <c r="M24" s="17" t="inlineStr">
        <is>
          <t>Para um basilisco de verdade, mantenha a ficha e trate como missão.</t>
        </is>
      </c>
      <c r="N24" s="30">
        <f>INDEX(Ajustes!$C$28:$F$30,MATCH(F24,Ajustes!$B$28:$B$30,0),MATCH(Painel!$C$7,Ajustes!$C$27:$F$27,0))</f>
        <v/>
      </c>
      <c r="O24" s="30">
        <f>IF(OR(G24="Qualquer",ISNUMBER(SEARCH(Painel!$C$9,G24))),1,Ajustes!$C$31)</f>
        <v/>
      </c>
      <c r="P24" s="30">
        <f>IF(A24=Painel!$M$17,INDEX(I24:L24,MATCH(Painel!$C$6,$I$5:$L$5,0))*N24*O24,0)</f>
        <v/>
      </c>
      <c r="Q24" s="30">
        <f>SUM($P$6:P24)</f>
        <v/>
      </c>
      <c r="R24" s="31">
        <f>IF(MAX($Q$6:$Q$38)=0,0,P24/MAX($Q$6:$Q$38))</f>
        <v/>
      </c>
    </row>
    <row r="25">
      <c r="A25" s="33" t="inlineStr">
        <is>
          <t>Monstro</t>
        </is>
      </c>
      <c r="B25" s="7" t="inlineStr">
        <is>
          <t>Grifo</t>
        </is>
      </c>
      <c r="C25" s="17" t="inlineStr">
        <is>
          <t>Manticora (troque a cauda de espinhos por mergulho com garras)</t>
        </is>
      </c>
      <c r="D25" s="29" t="inlineStr">
        <is>
          <t>monstruosidades/manticora.json</t>
        </is>
      </c>
      <c r="E25" s="12" t="inlineStr">
        <is>
          <t>6</t>
        </is>
      </c>
      <c r="F25" s="12" t="inlineStr">
        <is>
          <t>Diurna</t>
        </is>
      </c>
      <c r="G25" s="17" t="inlineStr">
        <is>
          <t>Montanha, Estrada</t>
        </is>
      </c>
      <c r="H25" s="17" t="inlineStr">
        <is>
          <t>1</t>
        </is>
      </c>
      <c r="I25" s="13" t="n">
        <v>0</v>
      </c>
      <c r="J25" s="13" t="n">
        <v>1</v>
      </c>
      <c r="K25" s="13" t="n">
        <v>2</v>
      </c>
      <c r="L25" s="13" t="n">
        <v>3</v>
      </c>
      <c r="M25" s="17" t="inlineStr">
        <is>
          <t>Ataca cavalos e gado; ninho no alto.</t>
        </is>
      </c>
      <c r="N25" s="30">
        <f>INDEX(Ajustes!$C$28:$F$30,MATCH(F25,Ajustes!$B$28:$B$30,0),MATCH(Painel!$C$7,Ajustes!$C$27:$F$27,0))</f>
        <v/>
      </c>
      <c r="O25" s="30">
        <f>IF(OR(G25="Qualquer",ISNUMBER(SEARCH(Painel!$C$9,G25))),1,Ajustes!$C$31)</f>
        <v/>
      </c>
      <c r="P25" s="30">
        <f>IF(A25=Painel!$M$17,INDEX(I25:L25,MATCH(Painel!$C$6,$I$5:$L$5,0))*N25*O25,0)</f>
        <v/>
      </c>
      <c r="Q25" s="30">
        <f>SUM($P$6:P25)</f>
        <v/>
      </c>
      <c r="R25" s="31">
        <f>IF(MAX($Q$6:$Q$38)=0,0,P25/MAX($Q$6:$Q$38))</f>
        <v/>
      </c>
    </row>
    <row r="26">
      <c r="A26" s="33" t="inlineStr">
        <is>
          <t>Monstro</t>
        </is>
      </c>
      <c r="B26" s="7" t="inlineStr">
        <is>
          <t>Chort</t>
        </is>
      </c>
      <c r="C26" s="17" t="inlineStr">
        <is>
          <t>Minotauro do Labirinto</t>
        </is>
      </c>
      <c r="D26" s="29" t="inlineStr">
        <is>
          <t>monstruosidades/minotauro.json</t>
        </is>
      </c>
      <c r="E26" s="12" t="inlineStr">
        <is>
          <t>6</t>
        </is>
      </c>
      <c r="F26" s="12" t="inlineStr">
        <is>
          <t>Noturna</t>
        </is>
      </c>
      <c r="G26" s="17" t="inlineStr">
        <is>
          <t>Floresta</t>
        </is>
      </c>
      <c r="H26" s="17" t="inlineStr">
        <is>
          <t>1</t>
        </is>
      </c>
      <c r="I26" s="13" t="n">
        <v>0</v>
      </c>
      <c r="J26" s="13" t="n">
        <v>0</v>
      </c>
      <c r="K26" s="13" t="n">
        <v>2</v>
      </c>
      <c r="L26" s="13" t="n">
        <v>2</v>
      </c>
      <c r="M26" s="17" t="inlineStr">
        <is>
          <t>Parente menor do Demônio (fiend). Para o Demônio adulto use NP+2 e trate como missão.</t>
        </is>
      </c>
      <c r="N26" s="30">
        <f>INDEX(Ajustes!$C$28:$F$30,MATCH(F26,Ajustes!$B$28:$B$30,0),MATCH(Painel!$C$7,Ajustes!$C$27:$F$27,0))</f>
        <v/>
      </c>
      <c r="O26" s="30">
        <f>IF(OR(G26="Qualquer",ISNUMBER(SEARCH(Painel!$C$9,G26))),1,Ajustes!$C$31)</f>
        <v/>
      </c>
      <c r="P26" s="30">
        <f>IF(A26=Painel!$M$17,INDEX(I26:L26,MATCH(Painel!$C$6,$I$5:$L$5,0))*N26*O26,0)</f>
        <v/>
      </c>
      <c r="Q26" s="30">
        <f>SUM($P$6:P26)</f>
        <v/>
      </c>
      <c r="R26" s="31">
        <f>IF(MAX($Q$6:$Q$38)=0,0,P26/MAX($Q$6:$Q$38))</f>
        <v/>
      </c>
    </row>
    <row r="27">
      <c r="A27" s="33" t="inlineStr">
        <is>
          <t>Monstro</t>
        </is>
      </c>
      <c r="B27" s="7" t="inlineStr">
        <is>
          <t>Dragão</t>
        </is>
      </c>
      <c r="C27" s="17" t="inlineStr">
        <is>
          <t>Dragão Vermelho ou Branco Jovem</t>
        </is>
      </c>
      <c r="D27" s="29" t="inlineStr">
        <is>
          <t>dragoes/dragao_vermelho.json</t>
        </is>
      </c>
      <c r="E27" s="12" t="inlineStr">
        <is>
          <t>9–10</t>
        </is>
      </c>
      <c r="F27" s="12" t="inlineStr">
        <is>
          <t>Diurna</t>
        </is>
      </c>
      <c r="G27" s="17" t="inlineStr">
        <is>
          <t>Montanha</t>
        </is>
      </c>
      <c r="H27" s="17" t="inlineStr">
        <is>
          <t>1</t>
        </is>
      </c>
      <c r="I27" s="13" t="n">
        <v>0</v>
      </c>
      <c r="J27" s="13" t="n">
        <v>0</v>
      </c>
      <c r="K27" s="13" t="n">
        <v>0</v>
      </c>
      <c r="L27" s="13" t="n">
        <v>1</v>
      </c>
      <c r="M27" s="17" t="inlineStr">
        <is>
          <t>Raríssimo. Quase sempre ameaça anunciada, não combate.</t>
        </is>
      </c>
      <c r="N27" s="30">
        <f>INDEX(Ajustes!$C$28:$F$30,MATCH(F27,Ajustes!$B$28:$B$30,0),MATCH(Painel!$C$7,Ajustes!$C$27:$F$27,0))</f>
        <v/>
      </c>
      <c r="O27" s="30">
        <f>IF(OR(G27="Qualquer",ISNUMBER(SEARCH(Painel!$C$9,G27))),1,Ajustes!$C$31)</f>
        <v/>
      </c>
      <c r="P27" s="30">
        <f>IF(A27=Painel!$M$17,INDEX(I27:L27,MATCH(Painel!$C$6,$I$5:$L$5,0))*N27*O27,0)</f>
        <v/>
      </c>
      <c r="Q27" s="30">
        <f>SUM($P$6:P27)</f>
        <v/>
      </c>
      <c r="R27" s="31">
        <f>IF(MAX($Q$6:$Q$38)=0,0,P27/MAX($Q$6:$Q$38))</f>
        <v/>
      </c>
    </row>
    <row r="28">
      <c r="A28" s="34" t="inlineStr">
        <is>
          <t>Sobrenatural</t>
        </is>
      </c>
      <c r="B28" s="7" t="inlineStr">
        <is>
          <t>Aparição (espectro)</t>
        </is>
      </c>
      <c r="C28" s="17" t="inlineStr">
        <is>
          <t>Sombra Voraz</t>
        </is>
      </c>
      <c r="D28" s="29" t="inlineStr">
        <is>
          <t>mortos_vivos/sombra.json</t>
        </is>
      </c>
      <c r="E28" s="12" t="inlineStr">
        <is>
          <t>5</t>
        </is>
      </c>
      <c r="F28" s="12" t="inlineStr">
        <is>
          <t>Noturna</t>
        </is>
      </c>
      <c r="G28" s="17" t="inlineStr">
        <is>
          <t>Estrada, Ruínas, Pântano</t>
        </is>
      </c>
      <c r="H28" s="17" t="inlineStr">
        <is>
          <t>1–3</t>
        </is>
      </c>
      <c r="I28" s="13" t="n">
        <v>1</v>
      </c>
      <c r="J28" s="13" t="n">
        <v>3</v>
      </c>
      <c r="K28" s="13" t="n">
        <v>4</v>
      </c>
      <c r="L28" s="13" t="n">
        <v>4</v>
      </c>
      <c r="M28" s="17" t="inlineStr">
        <is>
          <t>Ligada a uma morte injusta; investigar a história enfraquece ou resolve.</t>
        </is>
      </c>
      <c r="N28" s="30">
        <f>INDEX(Ajustes!$C$28:$F$30,MATCH(F28,Ajustes!$B$28:$B$30,0),MATCH(Painel!$C$7,Ajustes!$C$27:$F$27,0))</f>
        <v/>
      </c>
      <c r="O28" s="30">
        <f>IF(OR(G28="Qualquer",ISNUMBER(SEARCH(Painel!$C$9,G28))),1,Ajustes!$C$31)</f>
        <v/>
      </c>
      <c r="P28" s="30">
        <f>IF(A28=Painel!$M$17,INDEX(I28:L28,MATCH(Painel!$C$6,$I$5:$L$5,0))*N28*O28,0)</f>
        <v/>
      </c>
      <c r="Q28" s="30">
        <f>SUM($P$6:P28)</f>
        <v/>
      </c>
      <c r="R28" s="31">
        <f>IF(MAX($Q$6:$Q$38)=0,0,P28/MAX($Q$6:$Q$38))</f>
        <v/>
      </c>
    </row>
    <row r="29">
      <c r="A29" s="34" t="inlineStr">
        <is>
          <t>Sobrenatural</t>
        </is>
      </c>
      <c r="B29" s="7" t="inlineStr">
        <is>
          <t>Aparição do meio-dia</t>
        </is>
      </c>
      <c r="C29" s="17" t="inlineStr">
        <is>
          <t>Sombra Voraz (ativa sob sol forte)</t>
        </is>
      </c>
      <c r="D29" s="29" t="inlineStr">
        <is>
          <t>mortos_vivos/sombra.json</t>
        </is>
      </c>
      <c r="E29" s="12" t="inlineStr">
        <is>
          <t>5</t>
        </is>
      </c>
      <c r="F29" s="12" t="inlineStr">
        <is>
          <t>Diurna</t>
        </is>
      </c>
      <c r="G29" s="17" t="inlineStr">
        <is>
          <t>Estrada</t>
        </is>
      </c>
      <c r="H29" s="17" t="inlineStr">
        <is>
          <t>1</t>
        </is>
      </c>
      <c r="I29" s="13" t="n">
        <v>0</v>
      </c>
      <c r="J29" s="13" t="n">
        <v>1</v>
      </c>
      <c r="K29" s="13" t="n">
        <v>2</v>
      </c>
      <c r="L29" s="13" t="n">
        <v>2</v>
      </c>
      <c r="M29" s="17" t="inlineStr">
        <is>
          <t>Campos e trigais no calor; noiva morta antes do casamento.</t>
        </is>
      </c>
      <c r="N29" s="30">
        <f>INDEX(Ajustes!$C$28:$F$30,MATCH(F29,Ajustes!$B$28:$B$30,0),MATCH(Painel!$C$7,Ajustes!$C$27:$F$27,0))</f>
        <v/>
      </c>
      <c r="O29" s="30">
        <f>IF(OR(G29="Qualquer",ISNUMBER(SEARCH(Painel!$C$9,G29))),1,Ajustes!$C$31)</f>
        <v/>
      </c>
      <c r="P29" s="30">
        <f>IF(A29=Painel!$M$17,INDEX(I29:L29,MATCH(Painel!$C$6,$I$5:$L$5,0))*N29*O29,0)</f>
        <v/>
      </c>
      <c r="Q29" s="30">
        <f>SUM($P$6:P29)</f>
        <v/>
      </c>
      <c r="R29" s="31">
        <f>IF(MAX($Q$6:$Q$38)=0,0,P29/MAX($Q$6:$Q$38))</f>
        <v/>
      </c>
    </row>
    <row r="30">
      <c r="A30" s="34" t="inlineStr">
        <is>
          <t>Sobrenatural</t>
        </is>
      </c>
      <c r="B30" s="7" t="inlineStr">
        <is>
          <t>Megera da água</t>
        </is>
      </c>
      <c r="C30" s="17" t="inlineStr">
        <is>
          <t>Bruxa do Mar</t>
        </is>
      </c>
      <c r="D30" s="29" t="inlineStr">
        <is>
          <t>sobrenatural/bruxa_mar.json</t>
        </is>
      </c>
      <c r="E30" s="12" t="inlineStr">
        <is>
          <t>5</t>
        </is>
      </c>
      <c r="F30" s="12" t="inlineStr">
        <is>
          <t>Noturna</t>
        </is>
      </c>
      <c r="G30" s="17" t="inlineStr">
        <is>
          <t>Pântano</t>
        </is>
      </c>
      <c r="H30" s="17" t="inlineStr">
        <is>
          <t>1 + 1–3 afogadores</t>
        </is>
      </c>
      <c r="I30" s="13" t="n">
        <v>0</v>
      </c>
      <c r="J30" s="13" t="n">
        <v>1</v>
      </c>
      <c r="K30" s="13" t="n">
        <v>3</v>
      </c>
      <c r="L30" s="13" t="n">
        <v>3</v>
      </c>
      <c r="M30" s="17" t="inlineStr">
        <is>
          <t>Lama, rios e lagos. Comanda afogadores.</t>
        </is>
      </c>
      <c r="N30" s="30">
        <f>INDEX(Ajustes!$C$28:$F$30,MATCH(F30,Ajustes!$B$28:$B$30,0),MATCH(Painel!$C$7,Ajustes!$C$27:$F$27,0))</f>
        <v/>
      </c>
      <c r="O30" s="30">
        <f>IF(OR(G30="Qualquer",ISNUMBER(SEARCH(Painel!$C$9,G30))),1,Ajustes!$C$31)</f>
        <v/>
      </c>
      <c r="P30" s="30">
        <f>IF(A30=Painel!$M$17,INDEX(I30:L30,MATCH(Painel!$C$6,$I$5:$L$5,0))*N30*O30,0)</f>
        <v/>
      </c>
      <c r="Q30" s="30">
        <f>SUM($P$6:P30)</f>
        <v/>
      </c>
      <c r="R30" s="31">
        <f>IF(MAX($Q$6:$Q$38)=0,0,P30/MAX($Q$6:$Q$38))</f>
        <v/>
      </c>
    </row>
    <row r="31">
      <c r="A31" s="34" t="inlineStr">
        <is>
          <t>Sobrenatural</t>
        </is>
      </c>
      <c r="B31" s="7" t="inlineStr">
        <is>
          <t>Megera dos túmulos</t>
        </is>
      </c>
      <c r="C31" s="17" t="inlineStr">
        <is>
          <t>Bruxa Verde</t>
        </is>
      </c>
      <c r="D31" s="29" t="inlineStr">
        <is>
          <t>sobrenatural/bruxa.json</t>
        </is>
      </c>
      <c r="E31" s="12" t="inlineStr">
        <is>
          <t>7</t>
        </is>
      </c>
      <c r="F31" s="12" t="inlineStr">
        <is>
          <t>Noturna</t>
        </is>
      </c>
      <c r="G31" s="17" t="inlineStr">
        <is>
          <t>Ruínas, Pântano, Floresta</t>
        </is>
      </c>
      <c r="H31" s="17" t="inlineStr">
        <is>
          <t>1</t>
        </is>
      </c>
      <c r="I31" s="13" t="n">
        <v>0</v>
      </c>
      <c r="J31" s="13" t="n">
        <v>0</v>
      </c>
      <c r="K31" s="13" t="n">
        <v>1</v>
      </c>
      <c r="L31" s="13" t="n">
        <v>2</v>
      </c>
      <c r="M31" s="17" t="inlineStr">
        <is>
          <t>Cemitérios e campos de batalha; engana viajantes e come cadáveres.</t>
        </is>
      </c>
      <c r="N31" s="30">
        <f>INDEX(Ajustes!$C$28:$F$30,MATCH(F31,Ajustes!$B$28:$B$30,0),MATCH(Painel!$C$7,Ajustes!$C$27:$F$27,0))</f>
        <v/>
      </c>
      <c r="O31" s="30">
        <f>IF(OR(G31="Qualquer",ISNUMBER(SEARCH(Painel!$C$9,G31))),1,Ajustes!$C$31)</f>
        <v/>
      </c>
      <c r="P31" s="30">
        <f>IF(A31=Painel!$M$17,INDEX(I31:L31,MATCH(Painel!$C$6,$I$5:$L$5,0))*N31*O31,0)</f>
        <v/>
      </c>
      <c r="Q31" s="30">
        <f>SUM($P$6:P31)</f>
        <v/>
      </c>
      <c r="R31" s="31">
        <f>IF(MAX($Q$6:$Q$38)=0,0,P31/MAX($Q$6:$Q$38))</f>
        <v/>
      </c>
    </row>
    <row r="32">
      <c r="A32" s="34" t="inlineStr">
        <is>
          <t>Sobrenatural</t>
        </is>
      </c>
      <c r="B32" s="7" t="inlineStr">
        <is>
          <t>Damas do Bosque</t>
        </is>
      </c>
      <c r="C32" s="17" t="inlineStr">
        <is>
          <t>Bruxa da Noite (uma ficha por dama)</t>
        </is>
      </c>
      <c r="D32" s="29" t="inlineStr">
        <is>
          <t>sobrenatural/bruxa_noite.json</t>
        </is>
      </c>
      <c r="E32" s="12" t="inlineStr">
        <is>
          <t>9</t>
        </is>
      </c>
      <c r="F32" s="12" t="inlineStr">
        <is>
          <t>Noturna</t>
        </is>
      </c>
      <c r="G32" s="17" t="inlineStr">
        <is>
          <t>Pântano, Floresta</t>
        </is>
      </c>
      <c r="H32" s="17" t="inlineStr">
        <is>
          <t>1 (ou as três)</t>
        </is>
      </c>
      <c r="I32" s="13" t="n">
        <v>0</v>
      </c>
      <c r="J32" s="13" t="n">
        <v>0</v>
      </c>
      <c r="K32" s="13" t="n">
        <v>0</v>
      </c>
      <c r="L32" s="13" t="n">
        <v>1</v>
      </c>
      <c r="M32" s="17" t="inlineStr">
        <is>
          <t>Barganham. Quase nunca combate direto.</t>
        </is>
      </c>
      <c r="N32" s="30">
        <f>INDEX(Ajustes!$C$28:$F$30,MATCH(F32,Ajustes!$B$28:$B$30,0),MATCH(Painel!$C$7,Ajustes!$C$27:$F$27,0))</f>
        <v/>
      </c>
      <c r="O32" s="30">
        <f>IF(OR(G32="Qualquer",ISNUMBER(SEARCH(Painel!$C$9,G32))),1,Ajustes!$C$31)</f>
        <v/>
      </c>
      <c r="P32" s="30">
        <f>IF(A32=Painel!$M$17,INDEX(I32:L32,MATCH(Painel!$C$6,$I$5:$L$5,0))*N32*O32,0)</f>
        <v/>
      </c>
      <c r="Q32" s="30">
        <f>SUM($P$6:P32)</f>
        <v/>
      </c>
      <c r="R32" s="31">
        <f>IF(MAX($Q$6:$Q$38)=0,0,P32/MAX($Q$6:$Q$38))</f>
        <v/>
      </c>
    </row>
    <row r="33">
      <c r="A33" s="34" t="inlineStr">
        <is>
          <t>Sobrenatural</t>
        </is>
      </c>
      <c r="B33" s="7" t="inlineStr">
        <is>
          <t>Leshen</t>
        </is>
      </c>
      <c r="C33" s="17" t="inlineStr">
        <is>
          <t>Árvore Animada (+ controle de lobos e corvos)</t>
        </is>
      </c>
      <c r="D33" s="29" t="inlineStr">
        <is>
          <t>sobrenatural/arvore_animada.json</t>
        </is>
      </c>
      <c r="E33" s="12" t="inlineStr">
        <is>
          <t>8</t>
        </is>
      </c>
      <c r="F33" s="12" t="inlineStr">
        <is>
          <t>Qualquer</t>
        </is>
      </c>
      <c r="G33" s="17" t="inlineStr">
        <is>
          <t>Floresta</t>
        </is>
      </c>
      <c r="H33" s="17" t="inlineStr">
        <is>
          <t>1 + lobos e corvos</t>
        </is>
      </c>
      <c r="I33" s="13" t="n">
        <v>0</v>
      </c>
      <c r="J33" s="13" t="n">
        <v>0</v>
      </c>
      <c r="K33" s="13" t="n">
        <v>1</v>
      </c>
      <c r="L33" s="13" t="n">
        <v>2</v>
      </c>
      <c r="M33" s="17" t="inlineStr">
        <is>
          <t>Comece por presságios (árvores marcadas). Anuncie antes de mostrar.</t>
        </is>
      </c>
      <c r="N33" s="30">
        <f>INDEX(Ajustes!$C$28:$F$30,MATCH(F33,Ajustes!$B$28:$B$30,0),MATCH(Painel!$C$7,Ajustes!$C$27:$F$27,0))</f>
        <v/>
      </c>
      <c r="O33" s="30">
        <f>IF(OR(G33="Qualquer",ISNUMBER(SEARCH(Painel!$C$9,G33))),1,Ajustes!$C$31)</f>
        <v/>
      </c>
      <c r="P33" s="30">
        <f>IF(A33=Painel!$M$17,INDEX(I33:L33,MATCH(Painel!$C$6,$I$5:$L$5,0))*N33*O33,0)</f>
        <v/>
      </c>
      <c r="Q33" s="30">
        <f>SUM($P$6:P33)</f>
        <v/>
      </c>
      <c r="R33" s="31">
        <f>IF(MAX($Q$6:$Q$38)=0,0,P33/MAX($Q$6:$Q$38))</f>
        <v/>
      </c>
    </row>
    <row r="34">
      <c r="A34" s="34" t="inlineStr">
        <is>
          <t>Sobrenatural</t>
        </is>
      </c>
      <c r="B34" s="7" t="inlineStr">
        <is>
          <t>Godling (duende)</t>
        </is>
      </c>
      <c r="C34" s="17" t="inlineStr">
        <is>
          <t>Fada Trapaceira</t>
        </is>
      </c>
      <c r="D34" s="29" t="inlineStr">
        <is>
          <t>sobrenatural/fada.json</t>
        </is>
      </c>
      <c r="E34" s="12" t="inlineStr">
        <is>
          <t>4</t>
        </is>
      </c>
      <c r="F34" s="12" t="inlineStr">
        <is>
          <t>Diurna</t>
        </is>
      </c>
      <c r="G34" s="17" t="inlineStr">
        <is>
          <t>Floresta, Pântano</t>
        </is>
      </c>
      <c r="H34" s="17" t="inlineStr">
        <is>
          <t>1</t>
        </is>
      </c>
      <c r="I34" s="13" t="n">
        <v>2</v>
      </c>
      <c r="J34" s="13" t="n">
        <v>2</v>
      </c>
      <c r="K34" s="13" t="n">
        <v>1</v>
      </c>
      <c r="L34" s="13" t="n">
        <v>1</v>
      </c>
      <c r="M34" s="17" t="inlineStr">
        <is>
          <t>Não é hostil: prega peças, pede ajuda, troca favores.</t>
        </is>
      </c>
      <c r="N34" s="30">
        <f>INDEX(Ajustes!$C$28:$F$30,MATCH(F34,Ajustes!$B$28:$B$30,0),MATCH(Painel!$C$7,Ajustes!$C$27:$F$27,0))</f>
        <v/>
      </c>
      <c r="O34" s="30">
        <f>IF(OR(G34="Qualquer",ISNUMBER(SEARCH(Painel!$C$9,G34))),1,Ajustes!$C$31)</f>
        <v/>
      </c>
      <c r="P34" s="30">
        <f>IF(A34=Painel!$M$17,INDEX(I34:L34,MATCH(Painel!$C$6,$I$5:$L$5,0))*N34*O34,0)</f>
        <v/>
      </c>
      <c r="Q34" s="30">
        <f>SUM($P$6:P34)</f>
        <v/>
      </c>
      <c r="R34" s="31">
        <f>IF(MAX($Q$6:$Q$38)=0,0,P34/MAX($Q$6:$Q$38))</f>
        <v/>
      </c>
    </row>
    <row r="35">
      <c r="A35" s="34" t="inlineStr">
        <is>
          <t>Sobrenatural</t>
        </is>
      </c>
      <c r="B35" s="7" t="inlineStr">
        <is>
          <t>Sylvano</t>
        </is>
      </c>
      <c r="C35" s="17" t="inlineStr">
        <is>
          <t>Diabrete</t>
        </is>
      </c>
      <c r="D35" s="29" t="inlineStr">
        <is>
          <t>sobrenatural/diabrete.json</t>
        </is>
      </c>
      <c r="E35" s="12" t="inlineStr">
        <is>
          <t>4</t>
        </is>
      </c>
      <c r="F35" s="12" t="inlineStr">
        <is>
          <t>Qualquer</t>
        </is>
      </c>
      <c r="G35" s="17" t="inlineStr">
        <is>
          <t>Floresta, Estrada</t>
        </is>
      </c>
      <c r="H35" s="17" t="inlineStr">
        <is>
          <t>1</t>
        </is>
      </c>
      <c r="I35" s="13" t="n">
        <v>1</v>
      </c>
      <c r="J35" s="13" t="n">
        <v>2</v>
      </c>
      <c r="K35" s="13" t="n">
        <v>1</v>
      </c>
      <c r="L35" s="13" t="n">
        <v>1</v>
      </c>
      <c r="M35" s="17" t="inlineStr">
        <is>
          <t>Chifres e pernas de bode; mais travessura que perigo.</t>
        </is>
      </c>
      <c r="N35" s="30">
        <f>INDEX(Ajustes!$C$28:$F$30,MATCH(F35,Ajustes!$B$28:$B$30,0),MATCH(Painel!$C$7,Ajustes!$C$27:$F$27,0))</f>
        <v/>
      </c>
      <c r="O35" s="30">
        <f>IF(OR(G35="Qualquer",ISNUMBER(SEARCH(Painel!$C$9,G35))),1,Ajustes!$C$31)</f>
        <v/>
      </c>
      <c r="P35" s="30">
        <f>IF(A35=Painel!$M$17,INDEX(I35:L35,MATCH(Painel!$C$6,$I$5:$L$5,0))*N35*O35,0)</f>
        <v/>
      </c>
      <c r="Q35" s="30">
        <f>SUM($P$6:P35)</f>
        <v/>
      </c>
      <c r="R35" s="31">
        <f>IF(MAX($Q$6:$Q$38)=0,0,P35/MAX($Q$6:$Q$38))</f>
        <v/>
      </c>
    </row>
    <row r="36">
      <c r="A36" s="34" t="inlineStr">
        <is>
          <t>Sobrenatural</t>
        </is>
      </c>
      <c r="B36" s="7" t="inlineStr">
        <is>
          <t>Gárgula</t>
        </is>
      </c>
      <c r="C36" s="17" t="inlineStr">
        <is>
          <t>Gárgula</t>
        </is>
      </c>
      <c r="D36" s="29" t="inlineStr">
        <is>
          <t>sobrenatural/gargula.json</t>
        </is>
      </c>
      <c r="E36" s="12" t="inlineStr">
        <is>
          <t>5</t>
        </is>
      </c>
      <c r="F36" s="12" t="inlineStr">
        <is>
          <t>Noturna</t>
        </is>
      </c>
      <c r="G36" s="17" t="inlineStr">
        <is>
          <t>Ruínas</t>
        </is>
      </c>
      <c r="H36" s="17" t="inlineStr">
        <is>
          <t>1–2</t>
        </is>
      </c>
      <c r="I36" s="13" t="n">
        <v>0</v>
      </c>
      <c r="J36" s="13" t="n">
        <v>0</v>
      </c>
      <c r="K36" s="13" t="n">
        <v>1</v>
      </c>
      <c r="L36" s="13" t="n">
        <v>2</v>
      </c>
      <c r="M36" s="17" t="inlineStr">
        <is>
          <t>Guarda torre de mago ou ruína élfica.</t>
        </is>
      </c>
      <c r="N36" s="30">
        <f>INDEX(Ajustes!$C$28:$F$30,MATCH(F36,Ajustes!$B$28:$B$30,0),MATCH(Painel!$C$7,Ajustes!$C$27:$F$27,0))</f>
        <v/>
      </c>
      <c r="O36" s="30">
        <f>IF(OR(G36="Qualquer",ISNUMBER(SEARCH(Painel!$C$9,G36))),1,Ajustes!$C$31)</f>
        <v/>
      </c>
      <c r="P36" s="30">
        <f>IF(A36=Painel!$M$17,INDEX(I36:L36,MATCH(Painel!$C$6,$I$5:$L$5,0))*N36*O36,0)</f>
        <v/>
      </c>
      <c r="Q36" s="30">
        <f>SUM($P$6:P36)</f>
        <v/>
      </c>
      <c r="R36" s="31">
        <f>IF(MAX($Q$6:$Q$38)=0,0,P36/MAX($Q$6:$Q$38))</f>
        <v/>
      </c>
    </row>
    <row r="37">
      <c r="A37" s="34" t="inlineStr">
        <is>
          <t>Sobrenatural</t>
        </is>
      </c>
      <c r="B37" s="7" t="inlineStr">
        <is>
          <t>Golem</t>
        </is>
      </c>
      <c r="C37" s="17" t="inlineStr">
        <is>
          <t>Golem de Pedra</t>
        </is>
      </c>
      <c r="D37" s="29" t="inlineStr">
        <is>
          <t>construtos/golem_pedra.json</t>
        </is>
      </c>
      <c r="E37" s="12" t="inlineStr">
        <is>
          <t>9</t>
        </is>
      </c>
      <c r="F37" s="12" t="inlineStr">
        <is>
          <t>Qualquer</t>
        </is>
      </c>
      <c r="G37" s="17" t="inlineStr">
        <is>
          <t>Ruínas</t>
        </is>
      </c>
      <c r="H37" s="17" t="inlineStr">
        <is>
          <t>1</t>
        </is>
      </c>
      <c r="I37" s="13" t="n">
        <v>0</v>
      </c>
      <c r="J37" s="13" t="n">
        <v>0</v>
      </c>
      <c r="K37" s="13" t="n">
        <v>0</v>
      </c>
      <c r="L37" s="13" t="n">
        <v>1</v>
      </c>
      <c r="M37" s="17" t="inlineStr">
        <is>
          <t>Guardião de laboratório abandonado; evitável se ninguém entrar.</t>
        </is>
      </c>
      <c r="N37" s="30">
        <f>INDEX(Ajustes!$C$28:$F$30,MATCH(F37,Ajustes!$B$28:$B$30,0),MATCH(Painel!$C$7,Ajustes!$C$27:$F$27,0))</f>
        <v/>
      </c>
      <c r="O37" s="30">
        <f>IF(OR(G37="Qualquer",ISNUMBER(SEARCH(Painel!$C$9,G37))),1,Ajustes!$C$31)</f>
        <v/>
      </c>
      <c r="P37" s="30">
        <f>IF(A37=Painel!$M$17,INDEX(I37:L37,MATCH(Painel!$C$6,$I$5:$L$5,0))*N37*O37,0)</f>
        <v/>
      </c>
      <c r="Q37" s="30">
        <f>SUM($P$6:P37)</f>
        <v/>
      </c>
      <c r="R37" s="31">
        <f>IF(MAX($Q$6:$Q$38)=0,0,P37/MAX($Q$6:$Q$38))</f>
        <v/>
      </c>
    </row>
    <row r="38">
      <c r="A38" s="34" t="inlineStr">
        <is>
          <t>Sobrenatural</t>
        </is>
      </c>
      <c r="B38" s="7" t="inlineStr">
        <is>
          <t>Demônio invocado</t>
        </is>
      </c>
      <c r="C38" s="17" t="inlineStr">
        <is>
          <t>Demônio Guerreiro</t>
        </is>
      </c>
      <c r="D38" s="29" t="inlineStr">
        <is>
          <t>sobrenatural/demonio_guerreiro.json</t>
        </is>
      </c>
      <c r="E38" s="12" t="inlineStr">
        <is>
          <t>6</t>
        </is>
      </c>
      <c r="F38" s="12" t="inlineStr">
        <is>
          <t>Noturna</t>
        </is>
      </c>
      <c r="G38" s="17" t="inlineStr">
        <is>
          <t>Ruínas, Floresta</t>
        </is>
      </c>
      <c r="H38" s="17" t="inlineStr">
        <is>
          <t>1 + cultistas</t>
        </is>
      </c>
      <c r="I38" s="13" t="n">
        <v>0</v>
      </c>
      <c r="J38" s="13" t="n">
        <v>0</v>
      </c>
      <c r="K38" s="13" t="n">
        <v>1</v>
      </c>
      <c r="L38" s="13" t="n">
        <v>2</v>
      </c>
      <c r="M38" s="17" t="inlineStr">
        <is>
          <t>Círculo de invocação; os cultistas são a pista.</t>
        </is>
      </c>
      <c r="N38" s="30">
        <f>INDEX(Ajustes!$C$28:$F$30,MATCH(F38,Ajustes!$B$28:$B$30,0),MATCH(Painel!$C$7,Ajustes!$C$27:$F$27,0))</f>
        <v/>
      </c>
      <c r="O38" s="30">
        <f>IF(OR(G38="Qualquer",ISNUMBER(SEARCH(Painel!$C$9,G38))),1,Ajustes!$C$31)</f>
        <v/>
      </c>
      <c r="P38" s="30">
        <f>IF(A38=Painel!$M$17,INDEX(I38:L38,MATCH(Painel!$C$6,$I$5:$L$5,0))*N38*O38,0)</f>
        <v/>
      </c>
      <c r="Q38" s="30">
        <f>SUM($P$6:P38)</f>
        <v/>
      </c>
      <c r="R38" s="31">
        <f>IF(MAX($Q$6:$Q$38)=0,0,P38/MAX($Q$6:$Q$38))</f>
        <v/>
      </c>
    </row>
    <row r="40">
      <c r="A40" s="21" t="inlineStr">
        <is>
          <t>Como funciona o sorteio: só entram as criaturas da categoria do evento. Peso da área × fator do período (atividade) × fator do terreno. O d100 escolhe proporcionalmente; 'Chance agora' mostra as probabilidades da situação atual do Painel.</t>
        </is>
      </c>
    </row>
    <row r="41">
      <c r="A41" s="21" t="inlineStr">
        <is>
          <t>Fichas que ficaram de fora (não combinam com o Continente): goblins de areia, elétrico, quebra-gelo, ventanias, tóxico, arqueiro e xamã; bugbear brigão; hobgoblin soldado (use se quiser soldados de elite de Nilfgaard); múmia; esqueletos; cavalo de guerra (é montaria).</t>
        </is>
      </c>
    </row>
  </sheetData>
  <mergeCells count="4">
    <mergeCell ref="N4:R4"/>
    <mergeCell ref="A41:M41"/>
    <mergeCell ref="A40:M40"/>
    <mergeCell ref="I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FA89A"/>
    <outlinePr summaryBelow="1" summaryRight="1"/>
    <pageSetUpPr/>
  </sheetPr>
  <dimension ref="B1:E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6" customWidth="1" min="3" max="3"/>
    <col width="64" customWidth="1" min="4" max="4"/>
    <col width="50" customWidth="1" min="5" max="5"/>
  </cols>
  <sheetData>
    <row r="1" ht="28" customHeight="1">
      <c r="B1" s="1" t="inlineStr">
        <is>
          <t>Intensidade do encontro (d6 + mod. da área)</t>
        </is>
      </c>
    </row>
    <row r="2">
      <c r="B2" s="2" t="inlineStr">
        <is>
          <t>Só quando aparece criatura ou humanos hostis. Tranquila −1, Média 0, Perigosa +1, Mortal +2 (aba Ajustes).</t>
        </is>
      </c>
    </row>
    <row r="4">
      <c r="B4" s="11" t="inlineStr">
        <is>
          <t>Total</t>
        </is>
      </c>
      <c r="C4" s="11" t="inlineStr">
        <is>
          <t>Resultado</t>
        </is>
      </c>
      <c r="D4" s="11" t="inlineStr">
        <is>
          <t>Como interpretar</t>
        </is>
      </c>
      <c r="E4" s="11" t="inlineStr">
        <is>
          <t>Com personagem solo</t>
        </is>
      </c>
    </row>
    <row r="5">
      <c r="B5" s="14" t="n">
        <v>1</v>
      </c>
      <c r="C5" s="7" t="inlineStr">
        <is>
          <t>Só sinais</t>
        </is>
      </c>
      <c r="D5" s="17" t="inlineStr">
        <is>
          <t>Está longe ou evita o grupo. Deixa rastros, sons ou restos.</t>
        </is>
      </c>
      <c r="E5" s="17" t="inlineStr">
        <is>
          <t>Ótimo para tensão; nenhum teste obrigatório.</t>
        </is>
      </c>
    </row>
    <row r="6">
      <c r="B6" s="14" t="n">
        <v>2</v>
      </c>
      <c r="C6" s="7" t="inlineStr">
        <is>
          <t>Avistamento</t>
        </is>
      </c>
      <c r="D6" s="17" t="inlineStr">
        <is>
          <t>Percebe o grupo e observa à distância. Furtividade, Intimidação ou mudar de rota evitam o confronto.</t>
        </is>
      </c>
      <c r="E6" s="17" t="inlineStr">
        <is>
          <t>Deixe o jogador escolher se quer o combate.</t>
        </is>
      </c>
    </row>
    <row r="7">
      <c r="B7" s="14" t="n">
        <v>3</v>
      </c>
      <c r="C7" s="7" t="inlineStr">
        <is>
          <t>Encontro menor</t>
        </is>
      </c>
      <c r="D7" s="17" t="inlineStr">
        <is>
          <t>Mínimo do grupo típico, ou um indivíduo jovem ou ferido.</t>
        </is>
      </c>
      <c r="E7" s="17" t="inlineStr">
        <is>
          <t>Combate curto e vencível.</t>
        </is>
      </c>
    </row>
    <row r="8">
      <c r="B8" s="14" t="n">
        <v>4</v>
      </c>
      <c r="C8" s="7" t="inlineStr">
        <is>
          <t>Encontro padrão</t>
        </is>
      </c>
      <c r="D8" s="17" t="inlineStr">
        <is>
          <t>Grupo típico, sem vantagens especiais.</t>
        </is>
      </c>
      <c r="E8" s="17" t="inlineStr">
        <is>
          <t>Use o grupo típico como teto.</t>
        </is>
      </c>
    </row>
    <row r="9">
      <c r="B9" s="14" t="n">
        <v>5</v>
      </c>
      <c r="C9" s="7" t="inlineStr">
        <is>
          <t>No terreno dela</t>
        </is>
      </c>
      <c r="D9" s="17" t="inlineStr">
        <is>
          <t>Grupo típico com vantagem de terreno: água, mato alto, escuridão.</t>
        </is>
      </c>
      <c r="E9" s="17" t="inlineStr">
        <is>
          <t>Recuar para terreno aberto deve ser uma saída real.</t>
        </is>
      </c>
    </row>
    <row r="10">
      <c r="B10" s="14" t="n">
        <v>6</v>
      </c>
      <c r="C10" s="7" t="inlineStr">
        <is>
          <t>Grupo grande</t>
        </is>
      </c>
      <c r="D10" s="17" t="inlineStr">
        <is>
          <t>Máximo do grupo típico, ou reforço chega na 3ª rodada.</t>
        </is>
      </c>
      <c r="E10" s="17" t="inlineStr">
        <is>
          <t>Troque inimigos extras por pressão: perseguição, cerco, fuga.</t>
        </is>
      </c>
    </row>
    <row r="11">
      <c r="B11" s="14" t="n">
        <v>7</v>
      </c>
      <c r="C11" s="7" t="inlineStr">
        <is>
          <t>Emboscada</t>
        </is>
      </c>
      <c r="D11" s="17" t="inlineStr">
        <is>
          <t>Surpreende o grupo (rodada de surpresa) a menos que alguém passe em Percepção CD 15.</t>
        </is>
      </c>
      <c r="E11" s="17" t="inlineStr">
        <is>
          <t>Surpresa sim; dano extra não.</t>
        </is>
      </c>
    </row>
    <row r="12">
      <c r="B12" s="14" t="inlineStr">
        <is>
          <t>8+</t>
        </is>
      </c>
      <c r="C12" s="7" t="inlineStr">
        <is>
          <t>Emboscada + complicação</t>
        </is>
      </c>
      <c r="D12" s="17" t="inlineStr">
        <is>
          <t>Como 7, e algo piora: cavalo foge, carga em risco, ou uma segunda ameaça observa.</t>
        </is>
      </c>
      <c r="E12" s="17" t="inlineStr">
        <is>
          <t>A complicação é o problema; o inimigo continua do tamanho padrão.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2026-10-28T19:03:52Z</dcterms:created>
  <dcterms:modified xmlns:dcterms="http://purl.org/dc/terms/" xmlns:xsi="http://www.w3.org/2001/XMLSchema-instance" xsi:type="dcterms:W3CDTF">2026-10-28T19:03:52Z</dcterms:modified>
</cp:coreProperties>
</file>